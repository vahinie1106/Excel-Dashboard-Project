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E VAHINI\NM\EXCEL\"/>
    </mc:Choice>
  </mc:AlternateContent>
  <xr:revisionPtr revIDLastSave="0" documentId="13_ncr:1_{2F178076-C475-4FCD-9DEC-83D83F9D3506}" xr6:coauthVersionLast="47" xr6:coauthVersionMax="47" xr10:uidLastSave="{00000000-0000-0000-0000-000000000000}"/>
  <bookViews>
    <workbookView xWindow="-108" yWindow="-108" windowWidth="23256" windowHeight="12456" activeTab="4" xr2:uid="{88397898-2D5A-410B-B88F-08A63705CA03}"/>
  </bookViews>
  <sheets>
    <sheet name="Raw Data" sheetId="1" r:id="rId1"/>
    <sheet name="Clean Data" sheetId="2" r:id="rId2"/>
    <sheet name="Formatting &amp; Validation" sheetId="3" r:id="rId3"/>
    <sheet name="Aggregate Functions" sheetId="4" r:id="rId4"/>
    <sheet name="Pivot &amp; Charts" sheetId="7" r:id="rId5"/>
    <sheet name="Dashboard" sheetId="6" r:id="rId6"/>
  </sheets>
  <definedNames>
    <definedName name="NativeTimeline_Order_Date">#N/A</definedName>
    <definedName name="Slicer_Category">#N/A</definedName>
    <definedName name="Slicer_Product">#N/A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0" i="4" l="1"/>
  <c r="C19" i="4"/>
  <c r="C18" i="4"/>
  <c r="C17" i="4"/>
</calcChain>
</file>

<file path=xl/sharedStrings.xml><?xml version="1.0" encoding="utf-8"?>
<sst xmlns="http://schemas.openxmlformats.org/spreadsheetml/2006/main" count="194" uniqueCount="45">
  <si>
    <t>Order_ID</t>
  </si>
  <si>
    <t>Order_Date</t>
  </si>
  <si>
    <t>Product</t>
  </si>
  <si>
    <t>Category</t>
  </si>
  <si>
    <t>Quantity</t>
  </si>
  <si>
    <t>Sales</t>
  </si>
  <si>
    <t>Region</t>
  </si>
  <si>
    <t>Laptop</t>
  </si>
  <si>
    <t>Electronics</t>
  </si>
  <si>
    <t>South</t>
  </si>
  <si>
    <t>Mouse</t>
  </si>
  <si>
    <t>Accessories</t>
  </si>
  <si>
    <t>Keyboard</t>
  </si>
  <si>
    <t>West</t>
  </si>
  <si>
    <t>Monitor</t>
  </si>
  <si>
    <t>North</t>
  </si>
  <si>
    <t>Chair</t>
  </si>
  <si>
    <t>Furniture</t>
  </si>
  <si>
    <t>East</t>
  </si>
  <si>
    <t>Desk</t>
  </si>
  <si>
    <t>Numeric Columns (numbers):</t>
  </si>
  <si>
    <t>Categorical Columns (names / text):</t>
  </si>
  <si>
    <t>Date Column:</t>
  </si>
  <si>
    <t>Step 1: Identify Available Columns:-</t>
  </si>
  <si>
    <t>A</t>
  </si>
  <si>
    <t>B</t>
  </si>
  <si>
    <t>Metric</t>
  </si>
  <si>
    <t>Sum</t>
  </si>
  <si>
    <t>Average</t>
  </si>
  <si>
    <t>Median</t>
  </si>
  <si>
    <t>Standard Deviation</t>
  </si>
  <si>
    <t>Row Labels</t>
  </si>
  <si>
    <t>Grand Total</t>
  </si>
  <si>
    <t>Sum of Sales</t>
  </si>
  <si>
    <t>Jan</t>
  </si>
  <si>
    <t>Feb</t>
  </si>
  <si>
    <t>Mar</t>
  </si>
  <si>
    <t>Apr</t>
  </si>
  <si>
    <t>May</t>
  </si>
  <si>
    <t>Jun</t>
  </si>
  <si>
    <t>Jul</t>
  </si>
  <si>
    <t>Aug</t>
  </si>
  <si>
    <t>Sep</t>
  </si>
  <si>
    <t>Oct</t>
  </si>
  <si>
    <r>
      <rPr>
        <b/>
        <i/>
        <u/>
        <sz val="22"/>
        <color theme="0"/>
        <rFont val="Calibri"/>
        <family val="2"/>
        <scheme val="minor"/>
      </rPr>
      <t xml:space="preserve">  Sales Dashboard (Jan 2024) </t>
    </r>
    <r>
      <rPr>
        <b/>
        <i/>
        <u/>
        <sz val="2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</si>
</sst>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color theme="1"/>
      <name val="Aptos Narrow"/>
    </font>
    <font>
      <b/>
      <u/>
      <sz val="14"/>
      <color theme="1"/>
      <name val="Calibri"/>
      <family val="2"/>
      <scheme val="minor"/>
    </font>
    <font>
      <b/>
      <u/>
      <sz val="18"/>
      <color theme="1"/>
      <name val="Calibri"/>
      <family val="2"/>
      <scheme val="minor"/>
    </font>
    <font>
      <sz val="12"/>
      <color theme="1"/>
      <name val="Calibri"/>
      <family val="2"/>
      <scheme val="minor"/>
    </font>
    <font>
      <b/>
      <sz val="12"/>
      <color theme="1"/>
      <name val="Aptos Narrow"/>
    </font>
    <font>
      <b/>
      <sz val="11"/>
      <color theme="1"/>
      <name val="Calibri"/>
      <family val="2"/>
      <scheme val="minor"/>
    </font>
    <font>
      <sz val="22"/>
      <color theme="1"/>
      <name val="Calibri"/>
      <family val="2"/>
      <scheme val="minor"/>
    </font>
    <font>
      <b/>
      <i/>
      <u/>
      <sz val="22"/>
      <color theme="1"/>
      <name val="Calibri"/>
      <family val="2"/>
      <scheme val="minor"/>
    </font>
    <font>
      <b/>
      <i/>
      <u/>
      <sz val="22"/>
      <color theme="0"/>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1" tint="0.249977111117893"/>
        <bgColor indexed="64"/>
      </patternFill>
    </fill>
  </fills>
  <borders count="22">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57">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14" fontId="1" fillId="0" borderId="1" xfId="0" applyNumberFormat="1" applyFont="1" applyBorder="1" applyAlignment="1">
      <alignment horizontal="right"/>
    </xf>
    <xf numFmtId="0" fontId="0" fillId="0" borderId="0" xfId="0" applyAlignment="1">
      <alignment horizontal="left" vertical="center" indent="1"/>
    </xf>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0" xfId="0" applyBorder="1" applyAlignment="1">
      <alignment horizontal="left" vertical="center" indent="1"/>
    </xf>
    <xf numFmtId="0" fontId="0" fillId="0" borderId="7" xfId="0" applyBorder="1"/>
    <xf numFmtId="0" fontId="0" fillId="0" borderId="8" xfId="0" applyBorder="1"/>
    <xf numFmtId="0" fontId="0" fillId="0" borderId="9" xfId="0" applyBorder="1"/>
    <xf numFmtId="0" fontId="3" fillId="0" borderId="2" xfId="0" applyFont="1" applyBorder="1"/>
    <xf numFmtId="0" fontId="4" fillId="0" borderId="0" xfId="0" applyFont="1" applyBorder="1" applyAlignment="1">
      <alignment horizontal="center" vertical="center"/>
    </xf>
    <xf numFmtId="0" fontId="2" fillId="0" borderId="5" xfId="0" applyFont="1" applyBorder="1"/>
    <xf numFmtId="0" fontId="1" fillId="0" borderId="10" xfId="0" applyFont="1" applyBorder="1" applyAlignment="1">
      <alignment wrapText="1"/>
    </xf>
    <xf numFmtId="0" fontId="1" fillId="0" borderId="10" xfId="0" applyFont="1" applyBorder="1" applyAlignment="1">
      <alignment horizontal="right" wrapText="1"/>
    </xf>
    <xf numFmtId="14" fontId="1" fillId="0" borderId="10" xfId="0" applyNumberFormat="1" applyFont="1" applyBorder="1" applyAlignment="1">
      <alignment horizontal="right"/>
    </xf>
    <xf numFmtId="14" fontId="1" fillId="0" borderId="10" xfId="0" applyNumberFormat="1" applyFont="1" applyBorder="1" applyAlignment="1">
      <alignment horizontal="right" wrapText="1"/>
    </xf>
    <xf numFmtId="0" fontId="1" fillId="0" borderId="11" xfId="0" applyFont="1" applyBorder="1" applyAlignment="1">
      <alignment horizontal="right" wrapText="1"/>
    </xf>
    <xf numFmtId="0" fontId="1" fillId="0" borderId="12" xfId="0" applyFont="1" applyBorder="1" applyAlignment="1">
      <alignment wrapText="1"/>
    </xf>
    <xf numFmtId="0" fontId="5" fillId="0" borderId="13" xfId="0" applyFont="1" applyBorder="1" applyAlignment="1">
      <alignment wrapText="1"/>
    </xf>
    <xf numFmtId="0" fontId="5" fillId="0" borderId="14" xfId="0" applyFont="1" applyBorder="1" applyAlignment="1">
      <alignment wrapText="1"/>
    </xf>
    <xf numFmtId="0" fontId="5" fillId="0" borderId="15" xfId="0" applyFont="1" applyBorder="1" applyAlignment="1">
      <alignment wrapText="1"/>
    </xf>
    <xf numFmtId="0" fontId="1" fillId="0" borderId="16" xfId="0" applyFont="1" applyBorder="1" applyAlignment="1">
      <alignment horizontal="right" wrapText="1"/>
    </xf>
    <xf numFmtId="14" fontId="1" fillId="0" borderId="17" xfId="0" applyNumberFormat="1" applyFont="1" applyBorder="1" applyAlignment="1">
      <alignment horizontal="right" wrapText="1"/>
    </xf>
    <xf numFmtId="0" fontId="1" fillId="0" borderId="17" xfId="0" applyFont="1" applyBorder="1" applyAlignment="1">
      <alignment wrapText="1"/>
    </xf>
    <xf numFmtId="0" fontId="1" fillId="0" borderId="17" xfId="0" applyFont="1" applyBorder="1" applyAlignment="1">
      <alignment horizontal="right" wrapText="1"/>
    </xf>
    <xf numFmtId="0" fontId="1" fillId="0" borderId="18" xfId="0" applyFont="1" applyBorder="1" applyAlignment="1">
      <alignment wrapText="1"/>
    </xf>
    <xf numFmtId="0" fontId="5" fillId="0" borderId="13" xfId="0" applyFont="1" applyBorder="1" applyAlignment="1">
      <alignment horizontal="center" wrapText="1"/>
    </xf>
    <xf numFmtId="0" fontId="5" fillId="0" borderId="14" xfId="0" applyFont="1" applyBorder="1" applyAlignment="1">
      <alignment horizontal="center" wrapText="1"/>
    </xf>
    <xf numFmtId="0" fontId="5" fillId="0" borderId="15" xfId="0" applyFont="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0" borderId="18" xfId="0" applyBorder="1"/>
    <xf numFmtId="0" fontId="7" fillId="0" borderId="0" xfId="0" applyFont="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8" fillId="3" borderId="19" xfId="0" applyFont="1" applyFill="1" applyBorder="1" applyAlignment="1">
      <alignment horizontal="center"/>
    </xf>
    <xf numFmtId="0" fontId="0" fillId="0" borderId="13" xfId="0" applyBorder="1" applyAlignment="1">
      <alignment vertical="center" wrapText="1"/>
    </xf>
    <xf numFmtId="0" fontId="0" fillId="0" borderId="11" xfId="0" applyBorder="1" applyAlignment="1">
      <alignment vertical="center" wrapText="1"/>
    </xf>
    <xf numFmtId="0" fontId="0" fillId="0" borderId="15" xfId="0" applyBorder="1" applyAlignment="1">
      <alignment vertical="center" wrapText="1"/>
    </xf>
    <xf numFmtId="0" fontId="0" fillId="0" borderId="12" xfId="0" applyBorder="1" applyAlignment="1">
      <alignment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0" fillId="0" borderId="16" xfId="0" applyBorder="1" applyAlignment="1">
      <alignment vertical="center" wrapText="1"/>
    </xf>
  </cellXfs>
  <cellStyles count="1">
    <cellStyle name="Normal" xfId="0" builtinId="0"/>
  </cellStyles>
  <dxfs count="39">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numFmt numFmtId="19" formatCode="dd/mm/yyyy"/>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scheme val="none"/>
      </font>
      <alignment horizontal="righ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ptos Narrow"/>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&amp; Charts!PivotTable1</c:name>
    <c:fmtId val="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 Sales by Category</a:t>
            </a:r>
            <a:endParaRPr lang="en-US"/>
          </a:p>
        </c:rich>
      </c:tx>
      <c:layout>
        <c:manualLayout>
          <c:xMode val="edge"/>
          <c:yMode val="edge"/>
          <c:x val="0.1322478991596639"/>
          <c:y val="0.1527795027198887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2555027156259"/>
          <c:y val="0.36533792650918628"/>
          <c:w val="0.60760797536446554"/>
          <c:h val="0.23744830191680585"/>
        </c:manualLayout>
      </c:layout>
      <c:bar3DChart>
        <c:barDir val="col"/>
        <c:grouping val="clustered"/>
        <c:varyColors val="0"/>
        <c:ser>
          <c:idx val="0"/>
          <c:order val="0"/>
          <c:tx>
            <c:strRef>
              <c:f>'Pivot &amp; Charts'!$B$1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&amp; Charts'!$A$2:$A$5</c:f>
              <c:strCache>
                <c:ptCount val="3"/>
                <c:pt idx="0">
                  <c:v>Accessories</c:v>
                </c:pt>
                <c:pt idx="1">
                  <c:v>Electronics</c:v>
                </c:pt>
                <c:pt idx="2">
                  <c:v>Furniture</c:v>
                </c:pt>
              </c:strCache>
            </c:strRef>
          </c:cat>
          <c:val>
            <c:numRef>
              <c:f>'Pivot &amp; Charts'!$B$2:$B$5</c:f>
              <c:numCache>
                <c:formatCode>General</c:formatCode>
                <c:ptCount val="3"/>
                <c:pt idx="0">
                  <c:v>7500</c:v>
                </c:pt>
                <c:pt idx="1">
                  <c:v>158000</c:v>
                </c:pt>
                <c:pt idx="2">
                  <c:v>23000</c:v>
                </c:pt>
              </c:numCache>
            </c:numRef>
          </c:val>
          <c:extLst>
            <c:ext xmlns:c16="http://schemas.microsoft.com/office/drawing/2014/chart" uri="{C3380CC4-5D6E-409C-BE32-E72D297353CC}">
              <c16:uniqueId val="{00000000-3929-44C6-855E-5D755018C5F7}"/>
            </c:ext>
          </c:extLst>
        </c:ser>
        <c:dLbls>
          <c:showLegendKey val="0"/>
          <c:showVal val="1"/>
          <c:showCatName val="0"/>
          <c:showSerName val="0"/>
          <c:showPercent val="0"/>
          <c:showBubbleSize val="0"/>
        </c:dLbls>
        <c:gapWidth val="84"/>
        <c:gapDepth val="53"/>
        <c:shape val="box"/>
        <c:axId val="668092224"/>
        <c:axId val="668093472"/>
        <c:axId val="0"/>
      </c:bar3DChart>
      <c:catAx>
        <c:axId val="66809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8093472"/>
        <c:crosses val="autoZero"/>
        <c:auto val="1"/>
        <c:lblAlgn val="ctr"/>
        <c:lblOffset val="100"/>
        <c:noMultiLvlLbl val="0"/>
      </c:catAx>
      <c:valAx>
        <c:axId val="668093472"/>
        <c:scaling>
          <c:orientation val="minMax"/>
        </c:scaling>
        <c:delete val="1"/>
        <c:axPos val="l"/>
        <c:numFmt formatCode="General" sourceLinked="1"/>
        <c:majorTickMark val="out"/>
        <c:minorTickMark val="none"/>
        <c:tickLblPos val="nextTo"/>
        <c:crossAx val="66809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&amp; Charts!PivotTable2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 by Sales</a:t>
            </a:r>
            <a:endParaRPr lang="en-US"/>
          </a:p>
        </c:rich>
      </c:tx>
      <c:layout>
        <c:manualLayout>
          <c:xMode val="edge"/>
          <c:yMode val="edge"/>
          <c:x val="0.23259117439087237"/>
          <c:y val="0.1910991205780552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AD-4B61-9F9A-A1A3FAAA8CB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AD-4B61-9F9A-A1A3FAAA8CB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AD-4B61-9F9A-A1A3FAAA8CB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AD-4B61-9F9A-A1A3FAAA8CB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FAD-4B61-9F9A-A1A3FAAA8CBB}"/>
              </c:ext>
            </c:extLst>
          </c:dPt>
          <c:cat>
            <c:strRef>
              <c:f>'Pivot &amp; Charts'!$E$2:$E$7</c:f>
              <c:strCache>
                <c:ptCount val="5"/>
                <c:pt idx="0">
                  <c:v>Chair</c:v>
                </c:pt>
                <c:pt idx="1">
                  <c:v>Desk</c:v>
                </c:pt>
                <c:pt idx="2">
                  <c:v>Keyboard</c:v>
                </c:pt>
                <c:pt idx="3">
                  <c:v>Laptop</c:v>
                </c:pt>
                <c:pt idx="4">
                  <c:v>Monitor</c:v>
                </c:pt>
              </c:strCache>
            </c:strRef>
          </c:cat>
          <c:val>
            <c:numRef>
              <c:f>'Pivot &amp; Charts'!$F$2:$F$7</c:f>
              <c:numCache>
                <c:formatCode>General</c:formatCode>
                <c:ptCount val="5"/>
                <c:pt idx="0">
                  <c:v>8000</c:v>
                </c:pt>
                <c:pt idx="1">
                  <c:v>15000</c:v>
                </c:pt>
                <c:pt idx="2">
                  <c:v>4500</c:v>
                </c:pt>
                <c:pt idx="3">
                  <c:v>122000</c:v>
                </c:pt>
                <c:pt idx="4">
                  <c:v>36000</c:v>
                </c:pt>
              </c:numCache>
            </c:numRef>
          </c:val>
          <c:extLst>
            <c:ext xmlns:c16="http://schemas.microsoft.com/office/drawing/2014/chart" uri="{C3380CC4-5D6E-409C-BE32-E72D297353CC}">
              <c16:uniqueId val="{00000001-0F61-46FD-9502-CBC1E56292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&amp; Charts!PivotTable3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Charts'!$M$1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&amp; Charts'!$L$2:$L$12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&amp; Charts'!$M$2:$M$12</c:f>
              <c:numCache>
                <c:formatCode>General</c:formatCode>
                <c:ptCount val="10"/>
                <c:pt idx="0">
                  <c:v>60000</c:v>
                </c:pt>
                <c:pt idx="1">
                  <c:v>1200</c:v>
                </c:pt>
                <c:pt idx="2">
                  <c:v>1500</c:v>
                </c:pt>
                <c:pt idx="3">
                  <c:v>12000</c:v>
                </c:pt>
                <c:pt idx="4">
                  <c:v>62000</c:v>
                </c:pt>
                <c:pt idx="5">
                  <c:v>1800</c:v>
                </c:pt>
                <c:pt idx="6">
                  <c:v>8000</c:v>
                </c:pt>
                <c:pt idx="7">
                  <c:v>15000</c:v>
                </c:pt>
                <c:pt idx="8">
                  <c:v>24000</c:v>
                </c:pt>
                <c:pt idx="9">
                  <c:v>3000</c:v>
                </c:pt>
              </c:numCache>
            </c:numRef>
          </c:val>
          <c:smooth val="0"/>
          <c:extLst>
            <c:ext xmlns:c16="http://schemas.microsoft.com/office/drawing/2014/chart" uri="{C3380CC4-5D6E-409C-BE32-E72D297353CC}">
              <c16:uniqueId val="{00000001-D668-4E48-9F09-176AE871C02F}"/>
            </c:ext>
          </c:extLst>
        </c:ser>
        <c:dLbls>
          <c:showLegendKey val="0"/>
          <c:showVal val="0"/>
          <c:showCatName val="0"/>
          <c:showSerName val="0"/>
          <c:showPercent val="0"/>
          <c:showBubbleSize val="0"/>
        </c:dLbls>
        <c:marker val="1"/>
        <c:smooth val="0"/>
        <c:axId val="1013285728"/>
        <c:axId val="1013286144"/>
      </c:lineChart>
      <c:catAx>
        <c:axId val="1013285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286144"/>
        <c:crosses val="autoZero"/>
        <c:auto val="1"/>
        <c:lblAlgn val="ctr"/>
        <c:lblOffset val="100"/>
        <c:noMultiLvlLbl val="0"/>
      </c:catAx>
      <c:valAx>
        <c:axId val="1013286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28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&amp; Charts!PivotTable1</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Total Sales by Category</a:t>
            </a:r>
            <a:endParaRPr lang="en-US"/>
          </a:p>
        </c:rich>
      </c:tx>
      <c:layout>
        <c:manualLayout>
          <c:xMode val="edge"/>
          <c:yMode val="edge"/>
          <c:x val="0.1322478991596639"/>
          <c:y val="0.1527795027198887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82555027156259"/>
          <c:y val="0.36533792650918628"/>
          <c:w val="0.60760797536446554"/>
          <c:h val="0.23744830191680585"/>
        </c:manualLayout>
      </c:layout>
      <c:bar3DChart>
        <c:barDir val="col"/>
        <c:grouping val="clustered"/>
        <c:varyColors val="0"/>
        <c:ser>
          <c:idx val="0"/>
          <c:order val="0"/>
          <c:tx>
            <c:strRef>
              <c:f>'Pivot &amp; Charts'!$B$1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&amp; Charts'!$A$2:$A$5</c:f>
              <c:strCache>
                <c:ptCount val="3"/>
                <c:pt idx="0">
                  <c:v>Accessories</c:v>
                </c:pt>
                <c:pt idx="1">
                  <c:v>Electronics</c:v>
                </c:pt>
                <c:pt idx="2">
                  <c:v>Furniture</c:v>
                </c:pt>
              </c:strCache>
            </c:strRef>
          </c:cat>
          <c:val>
            <c:numRef>
              <c:f>'Pivot &amp; Charts'!$B$2:$B$5</c:f>
              <c:numCache>
                <c:formatCode>General</c:formatCode>
                <c:ptCount val="3"/>
                <c:pt idx="0">
                  <c:v>7500</c:v>
                </c:pt>
                <c:pt idx="1">
                  <c:v>158000</c:v>
                </c:pt>
                <c:pt idx="2">
                  <c:v>23000</c:v>
                </c:pt>
              </c:numCache>
            </c:numRef>
          </c:val>
          <c:extLst>
            <c:ext xmlns:c16="http://schemas.microsoft.com/office/drawing/2014/chart" uri="{C3380CC4-5D6E-409C-BE32-E72D297353CC}">
              <c16:uniqueId val="{00000000-B573-487C-BC4A-BCF8AA71BAB4}"/>
            </c:ext>
          </c:extLst>
        </c:ser>
        <c:dLbls>
          <c:showLegendKey val="0"/>
          <c:showVal val="1"/>
          <c:showCatName val="0"/>
          <c:showSerName val="0"/>
          <c:showPercent val="0"/>
          <c:showBubbleSize val="0"/>
        </c:dLbls>
        <c:gapWidth val="84"/>
        <c:gapDepth val="53"/>
        <c:shape val="box"/>
        <c:axId val="668092224"/>
        <c:axId val="668093472"/>
        <c:axId val="0"/>
      </c:bar3DChart>
      <c:catAx>
        <c:axId val="66809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8093472"/>
        <c:crosses val="autoZero"/>
        <c:auto val="1"/>
        <c:lblAlgn val="ctr"/>
        <c:lblOffset val="100"/>
        <c:noMultiLvlLbl val="0"/>
      </c:catAx>
      <c:valAx>
        <c:axId val="668093472"/>
        <c:scaling>
          <c:orientation val="minMax"/>
        </c:scaling>
        <c:delete val="1"/>
        <c:axPos val="l"/>
        <c:numFmt formatCode="General" sourceLinked="1"/>
        <c:majorTickMark val="out"/>
        <c:minorTickMark val="none"/>
        <c:tickLblPos val="nextTo"/>
        <c:crossAx val="66809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&amp; Charts!PivotTable2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Products by Sales</a:t>
            </a:r>
            <a:endParaRPr lang="en-US"/>
          </a:p>
        </c:rich>
      </c:tx>
      <c:layout>
        <c:manualLayout>
          <c:xMode val="edge"/>
          <c:yMode val="edge"/>
          <c:x val="0.25345319335083116"/>
          <c:y val="0.1343397284317788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C5-44E3-B57F-A9F9C9C542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C5-44E3-B57F-A9F9C9C5421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C5-44E3-B57F-A9F9C9C5421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BC5-44E3-B57F-A9F9C9C5421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BC5-44E3-B57F-A9F9C9C54215}"/>
              </c:ext>
            </c:extLst>
          </c:dPt>
          <c:cat>
            <c:strRef>
              <c:f>'Pivot &amp; Charts'!$E$2:$E$7</c:f>
              <c:strCache>
                <c:ptCount val="5"/>
                <c:pt idx="0">
                  <c:v>Chair</c:v>
                </c:pt>
                <c:pt idx="1">
                  <c:v>Desk</c:v>
                </c:pt>
                <c:pt idx="2">
                  <c:v>Keyboard</c:v>
                </c:pt>
                <c:pt idx="3">
                  <c:v>Laptop</c:v>
                </c:pt>
                <c:pt idx="4">
                  <c:v>Monitor</c:v>
                </c:pt>
              </c:strCache>
            </c:strRef>
          </c:cat>
          <c:val>
            <c:numRef>
              <c:f>'Pivot &amp; Charts'!$F$2:$F$7</c:f>
              <c:numCache>
                <c:formatCode>General</c:formatCode>
                <c:ptCount val="5"/>
                <c:pt idx="0">
                  <c:v>8000</c:v>
                </c:pt>
                <c:pt idx="1">
                  <c:v>15000</c:v>
                </c:pt>
                <c:pt idx="2">
                  <c:v>4500</c:v>
                </c:pt>
                <c:pt idx="3">
                  <c:v>122000</c:v>
                </c:pt>
                <c:pt idx="4">
                  <c:v>36000</c:v>
                </c:pt>
              </c:numCache>
            </c:numRef>
          </c:val>
          <c:extLst>
            <c:ext xmlns:c16="http://schemas.microsoft.com/office/drawing/2014/chart" uri="{C3380CC4-5D6E-409C-BE32-E72D297353CC}">
              <c16:uniqueId val="{0000000A-7BC5-44E3-B57F-A9F9C9C542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&amp; Charts!PivotTable3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Charts'!$M$1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&amp; Charts'!$L$2:$L$12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&amp; Charts'!$M$2:$M$12</c:f>
              <c:numCache>
                <c:formatCode>General</c:formatCode>
                <c:ptCount val="10"/>
                <c:pt idx="0">
                  <c:v>60000</c:v>
                </c:pt>
                <c:pt idx="1">
                  <c:v>1200</c:v>
                </c:pt>
                <c:pt idx="2">
                  <c:v>1500</c:v>
                </c:pt>
                <c:pt idx="3">
                  <c:v>12000</c:v>
                </c:pt>
                <c:pt idx="4">
                  <c:v>62000</c:v>
                </c:pt>
                <c:pt idx="5">
                  <c:v>1800</c:v>
                </c:pt>
                <c:pt idx="6">
                  <c:v>8000</c:v>
                </c:pt>
                <c:pt idx="7">
                  <c:v>15000</c:v>
                </c:pt>
                <c:pt idx="8">
                  <c:v>24000</c:v>
                </c:pt>
                <c:pt idx="9">
                  <c:v>3000</c:v>
                </c:pt>
              </c:numCache>
            </c:numRef>
          </c:val>
          <c:smooth val="0"/>
          <c:extLst>
            <c:ext xmlns:c16="http://schemas.microsoft.com/office/drawing/2014/chart" uri="{C3380CC4-5D6E-409C-BE32-E72D297353CC}">
              <c16:uniqueId val="{00000000-8D18-4029-9121-A1E521B4F537}"/>
            </c:ext>
          </c:extLst>
        </c:ser>
        <c:dLbls>
          <c:showLegendKey val="0"/>
          <c:showVal val="0"/>
          <c:showCatName val="0"/>
          <c:showSerName val="0"/>
          <c:showPercent val="0"/>
          <c:showBubbleSize val="0"/>
        </c:dLbls>
        <c:marker val="1"/>
        <c:smooth val="0"/>
        <c:axId val="1013285728"/>
        <c:axId val="1013286144"/>
      </c:lineChart>
      <c:catAx>
        <c:axId val="1013285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286144"/>
        <c:crosses val="autoZero"/>
        <c:auto val="1"/>
        <c:lblAlgn val="ctr"/>
        <c:lblOffset val="100"/>
        <c:noMultiLvlLbl val="0"/>
      </c:catAx>
      <c:valAx>
        <c:axId val="1013286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328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251460</xdr:colOff>
      <xdr:row>8</xdr:row>
      <xdr:rowOff>7620</xdr:rowOff>
    </xdr:from>
    <xdr:to>
      <xdr:col>5</xdr:col>
      <xdr:colOff>137160</xdr:colOff>
      <xdr:row>21</xdr:row>
      <xdr:rowOff>45720</xdr:rowOff>
    </xdr:to>
    <xdr:graphicFrame macro="">
      <xdr:nvGraphicFramePr>
        <xdr:cNvPr id="3" name="Chart 2">
          <a:extLst>
            <a:ext uri="{FF2B5EF4-FFF2-40B4-BE49-F238E27FC236}">
              <a16:creationId xmlns:a16="http://schemas.microsoft.com/office/drawing/2014/main" id="{72216924-B056-40D5-A380-81591E0BF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723900</xdr:colOff>
      <xdr:row>7</xdr:row>
      <xdr:rowOff>160020</xdr:rowOff>
    </xdr:from>
    <xdr:to>
      <xdr:col>10</xdr:col>
      <xdr:colOff>381000</xdr:colOff>
      <xdr:row>19</xdr:row>
      <xdr:rowOff>53340</xdr:rowOff>
    </xdr:to>
    <xdr:graphicFrame macro="">
      <xdr:nvGraphicFramePr>
        <xdr:cNvPr id="4" name="Chart 3">
          <a:extLst>
            <a:ext uri="{FF2B5EF4-FFF2-40B4-BE49-F238E27FC236}">
              <a16:creationId xmlns:a16="http://schemas.microsoft.com/office/drawing/2014/main" id="{43D32E5D-7EAD-42DD-93A0-2D7C98375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373380</xdr:colOff>
      <xdr:row>4</xdr:row>
      <xdr:rowOff>0</xdr:rowOff>
    </xdr:from>
    <xdr:to>
      <xdr:col>20</xdr:col>
      <xdr:colOff>0</xdr:colOff>
      <xdr:row>17</xdr:row>
      <xdr:rowOff>64770</xdr:rowOff>
    </xdr:to>
    <xdr:graphicFrame macro="">
      <xdr:nvGraphicFramePr>
        <xdr:cNvPr id="5" name="Chart 4">
          <a:extLst>
            <a:ext uri="{FF2B5EF4-FFF2-40B4-BE49-F238E27FC236}">
              <a16:creationId xmlns:a16="http://schemas.microsoft.com/office/drawing/2014/main" id="{BAF4EDBA-728D-482D-8566-A608F647F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13</xdr:row>
      <xdr:rowOff>167640</xdr:rowOff>
    </xdr:from>
    <xdr:to>
      <xdr:col>9</xdr:col>
      <xdr:colOff>1584960</xdr:colOff>
      <xdr:row>27</xdr:row>
      <xdr:rowOff>22860</xdr:rowOff>
    </xdr:to>
    <xdr:graphicFrame macro="">
      <xdr:nvGraphicFramePr>
        <xdr:cNvPr id="3" name="Chart 2">
          <a:extLst>
            <a:ext uri="{FF2B5EF4-FFF2-40B4-BE49-F238E27FC236}">
              <a16:creationId xmlns:a16="http://schemas.microsoft.com/office/drawing/2014/main" id="{CA92E81E-000F-46C7-A03A-6F4362F07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3474720</xdr:colOff>
      <xdr:row>14</xdr:row>
      <xdr:rowOff>7620</xdr:rowOff>
    </xdr:from>
    <xdr:to>
      <xdr:col>16</xdr:col>
      <xdr:colOff>396240</xdr:colOff>
      <xdr:row>27</xdr:row>
      <xdr:rowOff>91440</xdr:rowOff>
    </xdr:to>
    <xdr:graphicFrame macro="">
      <xdr:nvGraphicFramePr>
        <xdr:cNvPr id="4" name="Chart 3">
          <a:extLst>
            <a:ext uri="{FF2B5EF4-FFF2-40B4-BE49-F238E27FC236}">
              <a16:creationId xmlns:a16="http://schemas.microsoft.com/office/drawing/2014/main" id="{8D68E535-CC18-4A18-9F86-511FEEF17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388620</xdr:colOff>
      <xdr:row>29</xdr:row>
      <xdr:rowOff>68580</xdr:rowOff>
    </xdr:from>
    <xdr:to>
      <xdr:col>12</xdr:col>
      <xdr:colOff>304800</xdr:colOff>
      <xdr:row>42</xdr:row>
      <xdr:rowOff>133350</xdr:rowOff>
    </xdr:to>
    <xdr:graphicFrame macro="">
      <xdr:nvGraphicFramePr>
        <xdr:cNvPr id="5" name="Chart 4">
          <a:extLst>
            <a:ext uri="{FF2B5EF4-FFF2-40B4-BE49-F238E27FC236}">
              <a16:creationId xmlns:a16="http://schemas.microsoft.com/office/drawing/2014/main" id="{92C34D42-F575-45CA-A53B-E69873ED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411480</xdr:colOff>
      <xdr:row>5</xdr:row>
      <xdr:rowOff>1</xdr:rowOff>
    </xdr:from>
    <xdr:to>
      <xdr:col>9</xdr:col>
      <xdr:colOff>1493520</xdr:colOff>
      <xdr:row>12</xdr:row>
      <xdr:rowOff>7621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8740576-FD23-4B69-9305-5EAF9C85CE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96740" y="130302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396240</xdr:colOff>
      <xdr:row>5</xdr:row>
      <xdr:rowOff>7621</xdr:rowOff>
    </xdr:from>
    <xdr:to>
      <xdr:col>7</xdr:col>
      <xdr:colOff>396240</xdr:colOff>
      <xdr:row>12</xdr:row>
      <xdr:rowOff>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EB79AA5-FB23-40C0-8F4F-3CA0C9AC2C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43100" y="1310641"/>
              <a:ext cx="18288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2247900</xdr:colOff>
      <xdr:row>5</xdr:row>
      <xdr:rowOff>7621</xdr:rowOff>
    </xdr:from>
    <xdr:to>
      <xdr:col>10</xdr:col>
      <xdr:colOff>83820</xdr:colOff>
      <xdr:row>11</xdr:row>
      <xdr:rowOff>167640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30BD4626-2602-4E94-8379-23D8FD8BC98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979920" y="1310641"/>
              <a:ext cx="182880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5</xdr:row>
      <xdr:rowOff>0</xdr:rowOff>
    </xdr:from>
    <xdr:to>
      <xdr:col>16</xdr:col>
      <xdr:colOff>419100</xdr:colOff>
      <xdr:row>12</xdr:row>
      <xdr:rowOff>91440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01372D45-15CE-4189-869F-0094DD989E9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395460" y="13030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 VAHINI" refreshedDate="46059.991346064817" createdVersion="7" refreshedVersion="7" minRefreshableVersion="3" recordCount="10" xr:uid="{5DAA23E5-C59F-42B4-A9CD-2EC67C647AB7}">
  <cacheSource type="worksheet">
    <worksheetSource name="Table3"/>
  </cacheSource>
  <cacheFields count="8">
    <cacheField name="Order_ID" numFmtId="0">
      <sharedItems containsSemiMixedTypes="0" containsString="0" containsNumber="1" containsInteger="1" minValue="1001" maxValue="1010"/>
    </cacheField>
    <cacheField name="Order_Date" numFmtId="14">
      <sharedItems containsSemiMixedTypes="0" containsNonDate="0" containsDate="1" containsString="0" minDate="2024-01-01T00:00:00" maxDate="2024-10-02T00:00:00" count="10">
        <d v="2024-01-01T00:00:00"/>
        <d v="2024-02-01T00:00:00"/>
        <d v="2024-03-01T00:00:00"/>
        <d v="2024-04-01T00:00:00"/>
        <d v="2024-05-01T00:00:00"/>
        <d v="2024-06-01T00:00:00"/>
        <d v="2024-07-01T00:00:00"/>
        <d v="2024-08-01T00:00:00"/>
        <d v="2024-09-01T00:00:00"/>
        <d v="2024-10-01T00:00:00"/>
      </sharedItems>
      <fieldGroup par="7" base="1">
        <rangePr groupBy="days" startDate="2024-01-01T00:00:00" endDate="2024-10-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0-2024"/>
        </groupItems>
      </fieldGroup>
    </cacheField>
    <cacheField name="Product" numFmtId="0">
      <sharedItems count="6">
        <s v="Laptop"/>
        <s v="Mouse"/>
        <s v="Keyboard"/>
        <s v="Monitor"/>
        <s v="Chair"/>
        <s v="Desk"/>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3"/>
    </cacheField>
    <cacheField name="Sales" numFmtId="0">
      <sharedItems containsSemiMixedTypes="0" containsString="0" containsNumber="1" containsInteger="1" minValue="1200" maxValue="62000"/>
    </cacheField>
    <cacheField name="Region" numFmtId="0">
      <sharedItems count="4">
        <s v="South"/>
        <s v="West"/>
        <s v="North"/>
        <s v="East"/>
      </sharedItems>
    </cacheField>
    <cacheField name="Months" numFmtId="0" databaseField="0">
      <fieldGroup base="1">
        <rangePr groupBy="months" startDate="2024-01-01T00:00:00" endDate="2024-10-02T00:00:00"/>
        <groupItems count="14">
          <s v="&lt;01-01-2024"/>
          <s v="Jan"/>
          <s v="Feb"/>
          <s v="Mar"/>
          <s v="Apr"/>
          <s v="May"/>
          <s v="Jun"/>
          <s v="Jul"/>
          <s v="Aug"/>
          <s v="Sep"/>
          <s v="Oct"/>
          <s v="Nov"/>
          <s v="Dec"/>
          <s v="&gt;02-10-2024"/>
        </groupItems>
      </fieldGroup>
    </cacheField>
  </cacheFields>
  <extLst>
    <ext xmlns:x14="http://schemas.microsoft.com/office/spreadsheetml/2009/9/main" uri="{725AE2AE-9491-48be-B2B4-4EB974FC3084}">
      <x14:pivotCacheDefinition pivotCacheId="96868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n v="1"/>
    <n v="60000"/>
    <x v="0"/>
  </r>
  <r>
    <n v="1002"/>
    <x v="1"/>
    <x v="1"/>
    <x v="1"/>
    <n v="2"/>
    <n v="1200"/>
    <x v="0"/>
  </r>
  <r>
    <n v="1003"/>
    <x v="2"/>
    <x v="2"/>
    <x v="1"/>
    <n v="1"/>
    <n v="1500"/>
    <x v="1"/>
  </r>
  <r>
    <n v="1004"/>
    <x v="3"/>
    <x v="3"/>
    <x v="0"/>
    <n v="1"/>
    <n v="12000"/>
    <x v="2"/>
  </r>
  <r>
    <n v="1005"/>
    <x v="4"/>
    <x v="0"/>
    <x v="0"/>
    <n v="1"/>
    <n v="62000"/>
    <x v="0"/>
  </r>
  <r>
    <n v="1006"/>
    <x v="5"/>
    <x v="1"/>
    <x v="1"/>
    <n v="3"/>
    <n v="1800"/>
    <x v="1"/>
  </r>
  <r>
    <n v="1007"/>
    <x v="6"/>
    <x v="4"/>
    <x v="2"/>
    <n v="1"/>
    <n v="8000"/>
    <x v="3"/>
  </r>
  <r>
    <n v="1008"/>
    <x v="7"/>
    <x v="5"/>
    <x v="2"/>
    <n v="1"/>
    <n v="15000"/>
    <x v="2"/>
  </r>
  <r>
    <n v="1009"/>
    <x v="8"/>
    <x v="3"/>
    <x v="0"/>
    <n v="2"/>
    <n v="24000"/>
    <x v="3"/>
  </r>
  <r>
    <n v="1010"/>
    <x v="9"/>
    <x v="2"/>
    <x v="1"/>
    <n v="2"/>
    <n v="3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ADD2E-8E9D-4EAC-BAC1-F646C981634B}" name="PivotTable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location ref="A1:B5" firstHeaderRow="1" firstDataRow="1" firstDataCol="1"/>
  <pivotFields count="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5"/>
        <item x="2"/>
        <item x="0"/>
        <item x="3"/>
        <item x="1"/>
        <item t="default"/>
      </items>
    </pivotField>
    <pivotField axis="axisRow" showAll="0">
      <items count="4">
        <item x="1"/>
        <item x="0"/>
        <item x="2"/>
        <item t="default"/>
      </items>
    </pivotField>
    <pivotField showAll="0"/>
    <pivotField dataField="1" showAll="0"/>
    <pivotField showAll="0">
      <items count="5">
        <item x="3"/>
        <item x="2"/>
        <item x="0"/>
        <item x="1"/>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5"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B6D97-42BC-45E5-BE06-5051B2302F3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1:M12" firstHeaderRow="1" firstDataRow="1" firstDataCol="1"/>
  <pivotFields count="8">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4"/>
        <item x="5"/>
        <item x="2"/>
        <item x="0"/>
        <item x="3"/>
        <item x="1"/>
        <item t="default"/>
      </items>
    </pivotField>
    <pivotField showAll="0">
      <items count="4">
        <item x="1"/>
        <item x="0"/>
        <item x="2"/>
        <item t="default"/>
      </items>
    </pivotField>
    <pivotField showAll="0"/>
    <pivotField dataField="1" showAll="0"/>
    <pivotField showAll="0">
      <items count="5">
        <item x="3"/>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1"/>
  </rowFields>
  <rowItems count="11">
    <i>
      <x v="1"/>
    </i>
    <i>
      <x v="2"/>
    </i>
    <i>
      <x v="3"/>
    </i>
    <i>
      <x v="4"/>
    </i>
    <i>
      <x v="5"/>
    </i>
    <i>
      <x v="6"/>
    </i>
    <i>
      <x v="7"/>
    </i>
    <i>
      <x v="8"/>
    </i>
    <i>
      <x v="9"/>
    </i>
    <i>
      <x v="10"/>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16EAAD-F0E4-4AE6-B4D8-423F08A3DBE1}"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F7" firstHeaderRow="1" firstDataRow="1" firstDataCol="1"/>
  <pivotFields count="8">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7">
        <item x="4"/>
        <item x="5"/>
        <item x="2"/>
        <item x="0"/>
        <item x="3"/>
        <item x="1"/>
        <item t="default"/>
      </items>
    </pivotField>
    <pivotField showAll="0">
      <items count="4">
        <item x="1"/>
        <item x="0"/>
        <item x="2"/>
        <item t="default"/>
      </items>
    </pivotField>
    <pivotField showAll="0"/>
    <pivotField dataField="1" showAll="0"/>
    <pivotField showAll="0">
      <items count="5">
        <item x="3"/>
        <item x="2"/>
        <item x="0"/>
        <item x="1"/>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Sales" fld="5"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Medium18"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0AC1BF-BA3E-4289-B003-C032E3AD493A}" sourceName="Region">
  <pivotTables>
    <pivotTable tabId="7" name="PivotTable1"/>
    <pivotTable tabId="7" name="PivotTable2"/>
    <pivotTable tabId="7" name="PivotTable3"/>
  </pivotTables>
  <data>
    <tabular pivotCacheId="96868919">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69C9AC-B83A-458D-9C9C-C9BB3A693C6E}" sourceName="Category">
  <pivotTables>
    <pivotTable tabId="7" name="PivotTable1"/>
    <pivotTable tabId="7" name="PivotTable2"/>
    <pivotTable tabId="7" name="PivotTable3"/>
  </pivotTables>
  <data>
    <tabular pivotCacheId="9686891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89D90A4-3EAD-4039-9ADD-E6EEBBE23142}" sourceName="Product">
  <pivotTables>
    <pivotTable tabId="7" name="PivotTable1"/>
    <pivotTable tabId="7" name="PivotTable2"/>
    <pivotTable tabId="7" name="PivotTable3"/>
  </pivotTables>
  <data>
    <tabular pivotCacheId="96868919">
      <items count="6">
        <i x="4" s="1"/>
        <i x="5"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291F87-7224-473C-A607-51FE1269E2B1}" cache="Slicer_Region" caption="Region" style="SlicerStyleOther1" rowHeight="234950"/>
  <slicer name="Category" xr10:uid="{2E5863E8-F168-4885-8E0A-95970E1E464B}" cache="Slicer_Category" caption="Category" style="SlicerStyleOther1" rowHeight="234950"/>
  <slicer name="Product" xr10:uid="{1F7D562B-0517-4ADB-A0DF-BBA55CE51B05}" cache="Slicer_Product" caption="Product"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BC9C65-F8B7-4A9A-9459-EFDA51008E34}" name="Table3" displayName="Table3" ref="A1:G11" totalsRowShown="0" headerRowDxfId="38" headerRowBorderDxfId="37" tableBorderDxfId="36" totalsRowBorderDxfId="35">
  <autoFilter ref="A1:G11" xr:uid="{1DBC9C65-F8B7-4A9A-9459-EFDA51008E34}"/>
  <tableColumns count="7">
    <tableColumn id="1" xr3:uid="{6FA5F652-5130-4823-AF7F-BCB4C260B626}" name="Order_ID" dataDxfId="34"/>
    <tableColumn id="2" xr3:uid="{9B92D4AE-D99D-414F-AB11-EA2C28B7543B}" name="Order_Date" dataDxfId="33"/>
    <tableColumn id="3" xr3:uid="{A287CC02-BC65-4646-AE42-D6CA554AE0A8}" name="Product" dataDxfId="32"/>
    <tableColumn id="4" xr3:uid="{AA13FE22-F2CC-4205-9378-FD80CD6B9EEB}" name="Category" dataDxfId="31"/>
    <tableColumn id="5" xr3:uid="{F7BD4FA3-90E0-413B-92E3-FAA233B75C8D}" name="Quantity" dataDxfId="30"/>
    <tableColumn id="6" xr3:uid="{1385C237-D17F-42DB-A244-3BADFBEFA092}" name="Sales" dataDxfId="29"/>
    <tableColumn id="7" xr3:uid="{86B55EAF-B1F7-4B85-858C-399CCC93E78B}" name="Region" dataDxfId="28"/>
  </tableColumns>
  <tableStyleInfo name="TableStyleDark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CE7B2D-23A3-4619-9B55-5CDEAE5693DE}" name="Table2" displayName="Table2" ref="A1:G11" totalsRowShown="0" headerRowDxfId="26" headerRowBorderDxfId="25" tableBorderDxfId="24" totalsRowBorderDxfId="23">
  <autoFilter ref="A1:G11" xr:uid="{BBCE7B2D-23A3-4619-9B55-5CDEAE5693DE}"/>
  <tableColumns count="7">
    <tableColumn id="1" xr3:uid="{BB02BF3D-4311-43F8-BBB2-7EA01D79FE32}" name="Order_ID" dataDxfId="22"/>
    <tableColumn id="2" xr3:uid="{20D9BFA6-9AA8-453D-963C-5DECFD125858}" name="Order_Date" dataDxfId="21"/>
    <tableColumn id="3" xr3:uid="{76F80BA7-DE84-431B-BCBA-FED01511362D}" name="Product" dataDxfId="20"/>
    <tableColumn id="4" xr3:uid="{32592985-234A-4796-8E68-35D6326DD4E9}" name="Category" dataDxfId="19"/>
    <tableColumn id="5" xr3:uid="{DAB08621-F761-40E6-8240-8705D364DDFB}" name="Quantity" dataDxfId="18"/>
    <tableColumn id="6" xr3:uid="{1585D506-13E4-4A59-9A31-440F404280F1}" name="Sales" dataDxfId="17"/>
    <tableColumn id="7" xr3:uid="{78524811-E4CA-4361-895B-F9049F8FB505}" name="Region" dataDxfId="16"/>
  </tableColumns>
  <tableStyleInfo name="TableStyleMedium2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6E0A40-8C6A-4C78-AEFE-474F986D6853}" name="Table1" displayName="Table1" ref="A1:G11" totalsRowShown="0" headerRowDxfId="15" headerRowBorderDxfId="14" tableBorderDxfId="13" totalsRowBorderDxfId="12">
  <autoFilter ref="A1:G11" xr:uid="{026E0A40-8C6A-4C78-AEFE-474F986D6853}"/>
  <tableColumns count="7">
    <tableColumn id="1" xr3:uid="{D5E39A3D-059E-4BB0-95D5-0669312C994C}" name="Order_ID" dataDxfId="11"/>
    <tableColumn id="2" xr3:uid="{5A1CFD37-DD76-48B5-9180-5147C7832C74}" name="Order_Date" dataDxfId="10"/>
    <tableColumn id="3" xr3:uid="{51C753E8-AB7A-437A-933E-B83BA06EE378}" name="Product" dataDxfId="9"/>
    <tableColumn id="4" xr3:uid="{52F5F44B-BDD0-4E9C-A745-456F9251154B}" name="Category" dataDxfId="8"/>
    <tableColumn id="5" xr3:uid="{9A86C7B6-03F8-4873-BDDB-65860766DEDD}" name="Quantity" dataDxfId="7"/>
    <tableColumn id="6" xr3:uid="{DDAEF094-6E61-4079-A660-1F0697CEB31A}" name="Sales" dataDxfId="6"/>
    <tableColumn id="7" xr3:uid="{929019F0-C299-4904-AA2D-C7098053E5EE}" name="Region" dataDxfId="5"/>
  </tableColumns>
  <tableStyleInfo name="TableStyleDark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95C941-9720-4831-926A-3C40FF5F296F}" name="Table5" displayName="Table5" ref="B15:C20" totalsRowShown="0" headerRowDxfId="4" headerRowBorderDxfId="3" tableBorderDxfId="2">
  <autoFilter ref="B15:C20" xr:uid="{D695C941-9720-4831-926A-3C40FF5F296F}"/>
  <tableColumns count="2">
    <tableColumn id="1" xr3:uid="{D12F0917-F107-4FDB-AEA2-8955C692E051}" name="A" dataDxfId="1"/>
    <tableColumn id="2" xr3:uid="{8BD3161A-B34B-4027-8A9C-6AFA099FB32F}" name="B"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F590E2D-6CD4-4B63-97ED-B3B33ECC3F68}" sourceName="Order_Date">
  <pivotTables>
    <pivotTable tabId="7" name="PivotTable1"/>
  </pivotTables>
  <state minimalRefreshVersion="6" lastRefreshVersion="6" pivotCacheId="9686891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70BB2C5-CB66-4E1B-8E13-FEF810142327}" cache="NativeTimeline_Order_Date" caption="Order_Date" level="2" selectionLevel="2" scrollPosition="2024-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6575-B234-460D-9D29-144964F19DA0}">
  <dimension ref="A1:G29"/>
  <sheetViews>
    <sheetView topLeftCell="A7" workbookViewId="0">
      <selection activeCell="I30" sqref="I30"/>
    </sheetView>
  </sheetViews>
  <sheetFormatPr defaultRowHeight="14.4"/>
  <cols>
    <col min="1" max="1" width="11.5546875" customWidth="1"/>
    <col min="2" max="2" width="14.5546875" customWidth="1"/>
    <col min="3" max="3" width="13.88671875" customWidth="1"/>
    <col min="4" max="4" width="15.5546875" customWidth="1"/>
    <col min="5" max="5" width="11.21875" customWidth="1"/>
    <col min="6" max="6" width="12.5546875" customWidth="1"/>
    <col min="7" max="7" width="11.6640625" customWidth="1"/>
  </cols>
  <sheetData>
    <row r="1" spans="1:7" ht="16.2" thickBot="1">
      <c r="A1" s="1" t="s">
        <v>0</v>
      </c>
      <c r="B1" s="1" t="s">
        <v>1</v>
      </c>
      <c r="C1" s="1" t="s">
        <v>2</v>
      </c>
      <c r="D1" s="1" t="s">
        <v>3</v>
      </c>
      <c r="E1" s="1" t="s">
        <v>4</v>
      </c>
      <c r="F1" s="1" t="s">
        <v>5</v>
      </c>
      <c r="G1" s="1" t="s">
        <v>6</v>
      </c>
    </row>
    <row r="2" spans="1:7" ht="16.2" thickBot="1">
      <c r="A2" s="2">
        <v>1001</v>
      </c>
      <c r="B2" s="4">
        <v>45292</v>
      </c>
      <c r="C2" s="1" t="s">
        <v>7</v>
      </c>
      <c r="D2" s="1" t="s">
        <v>8</v>
      </c>
      <c r="E2" s="2">
        <v>1</v>
      </c>
      <c r="F2" s="2">
        <v>60000</v>
      </c>
      <c r="G2" s="1" t="s">
        <v>9</v>
      </c>
    </row>
    <row r="3" spans="1:7" ht="16.2" thickBot="1">
      <c r="A3" s="2">
        <v>1002</v>
      </c>
      <c r="B3" s="3">
        <v>45323</v>
      </c>
      <c r="C3" s="1" t="s">
        <v>10</v>
      </c>
      <c r="D3" s="1" t="s">
        <v>11</v>
      </c>
      <c r="E3" s="2">
        <v>2</v>
      </c>
      <c r="F3" s="2">
        <v>1200</v>
      </c>
      <c r="G3" s="1" t="s">
        <v>9</v>
      </c>
    </row>
    <row r="4" spans="1:7" ht="16.2" thickBot="1">
      <c r="A4" s="2">
        <v>1003</v>
      </c>
      <c r="B4" s="3">
        <v>45352</v>
      </c>
      <c r="C4" s="1" t="s">
        <v>12</v>
      </c>
      <c r="D4" s="1" t="s">
        <v>11</v>
      </c>
      <c r="E4" s="2">
        <v>1</v>
      </c>
      <c r="F4" s="2">
        <v>1500</v>
      </c>
      <c r="G4" s="1" t="s">
        <v>13</v>
      </c>
    </row>
    <row r="5" spans="1:7" ht="16.2" thickBot="1">
      <c r="A5" s="2">
        <v>1004</v>
      </c>
      <c r="B5" s="3">
        <v>45383</v>
      </c>
      <c r="C5" s="1" t="s">
        <v>14</v>
      </c>
      <c r="D5" s="1" t="s">
        <v>8</v>
      </c>
      <c r="E5" s="2">
        <v>1</v>
      </c>
      <c r="F5" s="2">
        <v>12000</v>
      </c>
      <c r="G5" s="1" t="s">
        <v>15</v>
      </c>
    </row>
    <row r="6" spans="1:7" ht="16.2" thickBot="1">
      <c r="A6" s="2">
        <v>1005</v>
      </c>
      <c r="B6" s="3">
        <v>45413</v>
      </c>
      <c r="C6" s="1" t="s">
        <v>7</v>
      </c>
      <c r="D6" s="1" t="s">
        <v>8</v>
      </c>
      <c r="E6" s="2">
        <v>1</v>
      </c>
      <c r="F6" s="2">
        <v>62000</v>
      </c>
      <c r="G6" s="1" t="s">
        <v>9</v>
      </c>
    </row>
    <row r="7" spans="1:7" ht="16.2" thickBot="1">
      <c r="A7" s="2">
        <v>1006</v>
      </c>
      <c r="B7" s="3">
        <v>45444</v>
      </c>
      <c r="C7" s="1" t="s">
        <v>10</v>
      </c>
      <c r="D7" s="1" t="s">
        <v>11</v>
      </c>
      <c r="E7" s="2">
        <v>3</v>
      </c>
      <c r="F7" s="2">
        <v>1800</v>
      </c>
      <c r="G7" s="1" t="s">
        <v>13</v>
      </c>
    </row>
    <row r="8" spans="1:7" ht="16.2" thickBot="1">
      <c r="A8" s="2">
        <v>1007</v>
      </c>
      <c r="B8" s="3">
        <v>45474</v>
      </c>
      <c r="C8" s="1" t="s">
        <v>16</v>
      </c>
      <c r="D8" s="1" t="s">
        <v>17</v>
      </c>
      <c r="E8" s="2">
        <v>1</v>
      </c>
      <c r="F8" s="2">
        <v>8000</v>
      </c>
      <c r="G8" s="1" t="s">
        <v>18</v>
      </c>
    </row>
    <row r="9" spans="1:7" ht="16.2" thickBot="1">
      <c r="A9" s="2">
        <v>1008</v>
      </c>
      <c r="B9" s="3">
        <v>45505</v>
      </c>
      <c r="C9" s="1" t="s">
        <v>19</v>
      </c>
      <c r="D9" s="1" t="s">
        <v>17</v>
      </c>
      <c r="E9" s="2">
        <v>1</v>
      </c>
      <c r="F9" s="2">
        <v>15000</v>
      </c>
      <c r="G9" s="1" t="s">
        <v>15</v>
      </c>
    </row>
    <row r="10" spans="1:7" ht="16.2" thickBot="1">
      <c r="A10" s="2">
        <v>1009</v>
      </c>
      <c r="B10" s="3">
        <v>45536</v>
      </c>
      <c r="C10" s="1" t="s">
        <v>14</v>
      </c>
      <c r="D10" s="1" t="s">
        <v>8</v>
      </c>
      <c r="E10" s="2">
        <v>2</v>
      </c>
      <c r="F10" s="2">
        <v>24000</v>
      </c>
      <c r="G10" s="1" t="s">
        <v>18</v>
      </c>
    </row>
    <row r="11" spans="1:7" ht="16.2" thickBot="1">
      <c r="A11" s="2">
        <v>1010</v>
      </c>
      <c r="B11" s="3">
        <v>45566</v>
      </c>
      <c r="C11" s="1" t="s">
        <v>12</v>
      </c>
      <c r="D11" s="1" t="s">
        <v>11</v>
      </c>
      <c r="E11" s="2">
        <v>2</v>
      </c>
      <c r="F11" s="2">
        <v>3000</v>
      </c>
      <c r="G11" s="1" t="s">
        <v>9</v>
      </c>
    </row>
    <row r="14" spans="1:7" ht="15" thickBot="1"/>
    <row r="15" spans="1:7" ht="23.4">
      <c r="B15" s="15" t="s">
        <v>23</v>
      </c>
      <c r="C15" s="6"/>
      <c r="D15" s="6"/>
      <c r="E15" s="7"/>
    </row>
    <row r="16" spans="1:7" ht="18">
      <c r="B16" s="17" t="s">
        <v>20</v>
      </c>
      <c r="C16" s="9"/>
      <c r="D16" s="9"/>
      <c r="E16" s="10"/>
    </row>
    <row r="17" spans="2:5" ht="15.6">
      <c r="B17" s="8"/>
      <c r="C17" s="16" t="s">
        <v>4</v>
      </c>
      <c r="D17" s="9"/>
      <c r="E17" s="10"/>
    </row>
    <row r="18" spans="2:5" ht="15.6">
      <c r="B18" s="8"/>
      <c r="C18" s="16" t="s">
        <v>5</v>
      </c>
      <c r="D18" s="9"/>
      <c r="E18" s="10"/>
    </row>
    <row r="19" spans="2:5">
      <c r="B19" s="8"/>
      <c r="C19" s="11"/>
      <c r="D19" s="9"/>
      <c r="E19" s="10"/>
    </row>
    <row r="20" spans="2:5" ht="18">
      <c r="B20" s="17" t="s">
        <v>21</v>
      </c>
      <c r="C20" s="9"/>
      <c r="D20" s="9"/>
      <c r="E20" s="10"/>
    </row>
    <row r="21" spans="2:5" ht="15.6">
      <c r="B21" s="8"/>
      <c r="C21" s="16" t="s">
        <v>2</v>
      </c>
      <c r="D21" s="9"/>
      <c r="E21" s="10"/>
    </row>
    <row r="22" spans="2:5" ht="15.6">
      <c r="B22" s="8"/>
      <c r="C22" s="16" t="s">
        <v>3</v>
      </c>
      <c r="D22" s="9"/>
      <c r="E22" s="10"/>
    </row>
    <row r="23" spans="2:5" ht="15.6">
      <c r="B23" s="8"/>
      <c r="C23" s="16" t="s">
        <v>6</v>
      </c>
      <c r="D23" s="9"/>
      <c r="E23" s="10"/>
    </row>
    <row r="24" spans="2:5">
      <c r="B24" s="8"/>
      <c r="C24" s="11"/>
      <c r="D24" s="9"/>
      <c r="E24" s="10"/>
    </row>
    <row r="25" spans="2:5" ht="18">
      <c r="B25" s="17" t="s">
        <v>22</v>
      </c>
      <c r="C25" s="9"/>
      <c r="D25" s="9"/>
      <c r="E25" s="10"/>
    </row>
    <row r="26" spans="2:5" ht="15.6">
      <c r="B26" s="8"/>
      <c r="C26" s="16" t="s">
        <v>1</v>
      </c>
      <c r="D26" s="9"/>
      <c r="E26" s="10"/>
    </row>
    <row r="27" spans="2:5" ht="15" thickBot="1">
      <c r="B27" s="12"/>
      <c r="C27" s="13"/>
      <c r="D27" s="13"/>
      <c r="E27" s="14"/>
    </row>
    <row r="29" spans="2:5">
      <c r="B29"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50AE-65E2-4886-8997-AC0CFA83A31A}">
  <dimension ref="A1:G11"/>
  <sheetViews>
    <sheetView workbookViewId="0">
      <selection activeCell="J5" sqref="J5"/>
    </sheetView>
  </sheetViews>
  <sheetFormatPr defaultRowHeight="14.4"/>
  <cols>
    <col min="1" max="1" width="12.33203125" customWidth="1"/>
    <col min="2" max="2" width="15" customWidth="1"/>
    <col min="3" max="3" width="14.33203125" customWidth="1"/>
    <col min="4" max="4" width="14.77734375" customWidth="1"/>
    <col min="5" max="5" width="11.88671875" customWidth="1"/>
    <col min="6" max="6" width="10.33203125" customWidth="1"/>
    <col min="7" max="7" width="11" customWidth="1"/>
  </cols>
  <sheetData>
    <row r="1" spans="1:7" ht="15.6">
      <c r="A1" s="24" t="s">
        <v>0</v>
      </c>
      <c r="B1" s="25" t="s">
        <v>1</v>
      </c>
      <c r="C1" s="25" t="s">
        <v>2</v>
      </c>
      <c r="D1" s="25" t="s">
        <v>3</v>
      </c>
      <c r="E1" s="25" t="s">
        <v>4</v>
      </c>
      <c r="F1" s="25" t="s">
        <v>5</v>
      </c>
      <c r="G1" s="26" t="s">
        <v>6</v>
      </c>
    </row>
    <row r="2" spans="1:7" ht="15.6">
      <c r="A2" s="22">
        <v>1001</v>
      </c>
      <c r="B2" s="20">
        <v>45292</v>
      </c>
      <c r="C2" s="18" t="s">
        <v>7</v>
      </c>
      <c r="D2" s="18" t="s">
        <v>8</v>
      </c>
      <c r="E2" s="19">
        <v>1</v>
      </c>
      <c r="F2" s="19">
        <v>60000</v>
      </c>
      <c r="G2" s="23" t="s">
        <v>9</v>
      </c>
    </row>
    <row r="3" spans="1:7" ht="15.6">
      <c r="A3" s="22">
        <v>1002</v>
      </c>
      <c r="B3" s="21">
        <v>45323</v>
      </c>
      <c r="C3" s="18" t="s">
        <v>10</v>
      </c>
      <c r="D3" s="18" t="s">
        <v>11</v>
      </c>
      <c r="E3" s="19">
        <v>2</v>
      </c>
      <c r="F3" s="19">
        <v>1200</v>
      </c>
      <c r="G3" s="23" t="s">
        <v>9</v>
      </c>
    </row>
    <row r="4" spans="1:7" ht="15.6">
      <c r="A4" s="22">
        <v>1003</v>
      </c>
      <c r="B4" s="21">
        <v>45352</v>
      </c>
      <c r="C4" s="18" t="s">
        <v>12</v>
      </c>
      <c r="D4" s="18" t="s">
        <v>11</v>
      </c>
      <c r="E4" s="19">
        <v>1</v>
      </c>
      <c r="F4" s="19">
        <v>1500</v>
      </c>
      <c r="G4" s="23" t="s">
        <v>13</v>
      </c>
    </row>
    <row r="5" spans="1:7" ht="15.6">
      <c r="A5" s="22">
        <v>1004</v>
      </c>
      <c r="B5" s="21">
        <v>45383</v>
      </c>
      <c r="C5" s="18" t="s">
        <v>14</v>
      </c>
      <c r="D5" s="18" t="s">
        <v>8</v>
      </c>
      <c r="E5" s="19">
        <v>1</v>
      </c>
      <c r="F5" s="19">
        <v>12000</v>
      </c>
      <c r="G5" s="23" t="s">
        <v>15</v>
      </c>
    </row>
    <row r="6" spans="1:7" ht="15.6">
      <c r="A6" s="22">
        <v>1005</v>
      </c>
      <c r="B6" s="21">
        <v>45413</v>
      </c>
      <c r="C6" s="18" t="s">
        <v>7</v>
      </c>
      <c r="D6" s="18" t="s">
        <v>8</v>
      </c>
      <c r="E6" s="19">
        <v>1</v>
      </c>
      <c r="F6" s="19">
        <v>62000</v>
      </c>
      <c r="G6" s="23" t="s">
        <v>9</v>
      </c>
    </row>
    <row r="7" spans="1:7" ht="15.6">
      <c r="A7" s="22">
        <v>1006</v>
      </c>
      <c r="B7" s="21">
        <v>45444</v>
      </c>
      <c r="C7" s="18" t="s">
        <v>10</v>
      </c>
      <c r="D7" s="18" t="s">
        <v>11</v>
      </c>
      <c r="E7" s="19">
        <v>3</v>
      </c>
      <c r="F7" s="19">
        <v>1800</v>
      </c>
      <c r="G7" s="23" t="s">
        <v>13</v>
      </c>
    </row>
    <row r="8" spans="1:7" ht="15.6">
      <c r="A8" s="22">
        <v>1007</v>
      </c>
      <c r="B8" s="21">
        <v>45474</v>
      </c>
      <c r="C8" s="18" t="s">
        <v>16</v>
      </c>
      <c r="D8" s="18" t="s">
        <v>17</v>
      </c>
      <c r="E8" s="19">
        <v>1</v>
      </c>
      <c r="F8" s="19">
        <v>8000</v>
      </c>
      <c r="G8" s="23" t="s">
        <v>18</v>
      </c>
    </row>
    <row r="9" spans="1:7" ht="15.6">
      <c r="A9" s="22">
        <v>1008</v>
      </c>
      <c r="B9" s="21">
        <v>45505</v>
      </c>
      <c r="C9" s="18" t="s">
        <v>19</v>
      </c>
      <c r="D9" s="18" t="s">
        <v>17</v>
      </c>
      <c r="E9" s="19">
        <v>1</v>
      </c>
      <c r="F9" s="19">
        <v>15000</v>
      </c>
      <c r="G9" s="23" t="s">
        <v>15</v>
      </c>
    </row>
    <row r="10" spans="1:7" ht="15.6">
      <c r="A10" s="22">
        <v>1009</v>
      </c>
      <c r="B10" s="21">
        <v>45536</v>
      </c>
      <c r="C10" s="18" t="s">
        <v>14</v>
      </c>
      <c r="D10" s="18" t="s">
        <v>8</v>
      </c>
      <c r="E10" s="19">
        <v>2</v>
      </c>
      <c r="F10" s="19">
        <v>24000</v>
      </c>
      <c r="G10" s="23" t="s">
        <v>18</v>
      </c>
    </row>
    <row r="11" spans="1:7" ht="15.6">
      <c r="A11" s="27">
        <v>1010</v>
      </c>
      <c r="B11" s="28">
        <v>45566</v>
      </c>
      <c r="C11" s="29" t="s">
        <v>12</v>
      </c>
      <c r="D11" s="29" t="s">
        <v>11</v>
      </c>
      <c r="E11" s="30">
        <v>2</v>
      </c>
      <c r="F11" s="30">
        <v>3000</v>
      </c>
      <c r="G11" s="31"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0F5C-A892-4E43-B792-8807FC33B268}">
  <dimension ref="A1:G11"/>
  <sheetViews>
    <sheetView workbookViewId="0">
      <selection activeCell="F1" sqref="F1"/>
    </sheetView>
  </sheetViews>
  <sheetFormatPr defaultRowHeight="14.4"/>
  <cols>
    <col min="1" max="1" width="13.5546875" customWidth="1"/>
    <col min="2" max="2" width="15.33203125" customWidth="1"/>
    <col min="3" max="3" width="15.88671875" customWidth="1"/>
    <col min="4" max="4" width="14.44140625" customWidth="1"/>
    <col min="5" max="5" width="11.88671875" customWidth="1"/>
    <col min="6" max="6" width="9.88671875" customWidth="1"/>
    <col min="7" max="7" width="11.109375" customWidth="1"/>
  </cols>
  <sheetData>
    <row r="1" spans="1:7" ht="15.6">
      <c r="A1" s="32" t="s">
        <v>0</v>
      </c>
      <c r="B1" s="33" t="s">
        <v>1</v>
      </c>
      <c r="C1" s="33" t="s">
        <v>2</v>
      </c>
      <c r="D1" s="33" t="s">
        <v>3</v>
      </c>
      <c r="E1" s="33" t="s">
        <v>4</v>
      </c>
      <c r="F1" s="33" t="s">
        <v>5</v>
      </c>
      <c r="G1" s="34" t="s">
        <v>6</v>
      </c>
    </row>
    <row r="2" spans="1:7" ht="15.6">
      <c r="A2" s="22">
        <v>1001</v>
      </c>
      <c r="B2" s="20">
        <v>45292</v>
      </c>
      <c r="C2" s="18" t="s">
        <v>7</v>
      </c>
      <c r="D2" s="18" t="s">
        <v>8</v>
      </c>
      <c r="E2" s="19">
        <v>1</v>
      </c>
      <c r="F2" s="19">
        <v>60000</v>
      </c>
      <c r="G2" s="23" t="s">
        <v>9</v>
      </c>
    </row>
    <row r="3" spans="1:7" ht="15.6">
      <c r="A3" s="22">
        <v>1002</v>
      </c>
      <c r="B3" s="21">
        <v>45323</v>
      </c>
      <c r="C3" s="18" t="s">
        <v>10</v>
      </c>
      <c r="D3" s="18" t="s">
        <v>11</v>
      </c>
      <c r="E3" s="19">
        <v>2</v>
      </c>
      <c r="F3" s="19">
        <v>1200</v>
      </c>
      <c r="G3" s="23" t="s">
        <v>9</v>
      </c>
    </row>
    <row r="4" spans="1:7" ht="15.6">
      <c r="A4" s="22">
        <v>1003</v>
      </c>
      <c r="B4" s="21">
        <v>45352</v>
      </c>
      <c r="C4" s="18" t="s">
        <v>12</v>
      </c>
      <c r="D4" s="18" t="s">
        <v>11</v>
      </c>
      <c r="E4" s="19">
        <v>1</v>
      </c>
      <c r="F4" s="19">
        <v>1500</v>
      </c>
      <c r="G4" s="23" t="s">
        <v>13</v>
      </c>
    </row>
    <row r="5" spans="1:7" ht="15.6">
      <c r="A5" s="22">
        <v>1004</v>
      </c>
      <c r="B5" s="21">
        <v>45383</v>
      </c>
      <c r="C5" s="18" t="s">
        <v>14</v>
      </c>
      <c r="D5" s="18" t="s">
        <v>8</v>
      </c>
      <c r="E5" s="19">
        <v>1</v>
      </c>
      <c r="F5" s="19">
        <v>12000</v>
      </c>
      <c r="G5" s="23" t="s">
        <v>15</v>
      </c>
    </row>
    <row r="6" spans="1:7" ht="15.6">
      <c r="A6" s="22">
        <v>1005</v>
      </c>
      <c r="B6" s="21">
        <v>45413</v>
      </c>
      <c r="C6" s="18" t="s">
        <v>7</v>
      </c>
      <c r="D6" s="18" t="s">
        <v>8</v>
      </c>
      <c r="E6" s="19">
        <v>1</v>
      </c>
      <c r="F6" s="19">
        <v>62000</v>
      </c>
      <c r="G6" s="23" t="s">
        <v>9</v>
      </c>
    </row>
    <row r="7" spans="1:7" ht="15.6">
      <c r="A7" s="22">
        <v>1006</v>
      </c>
      <c r="B7" s="21">
        <v>45444</v>
      </c>
      <c r="C7" s="18" t="s">
        <v>10</v>
      </c>
      <c r="D7" s="18" t="s">
        <v>11</v>
      </c>
      <c r="E7" s="19">
        <v>3</v>
      </c>
      <c r="F7" s="19">
        <v>1800</v>
      </c>
      <c r="G7" s="23" t="s">
        <v>13</v>
      </c>
    </row>
    <row r="8" spans="1:7" ht="15.6">
      <c r="A8" s="22">
        <v>1007</v>
      </c>
      <c r="B8" s="21">
        <v>45474</v>
      </c>
      <c r="C8" s="18" t="s">
        <v>16</v>
      </c>
      <c r="D8" s="18" t="s">
        <v>17</v>
      </c>
      <c r="E8" s="19">
        <v>1</v>
      </c>
      <c r="F8" s="19">
        <v>8000</v>
      </c>
      <c r="G8" s="23" t="s">
        <v>18</v>
      </c>
    </row>
    <row r="9" spans="1:7" ht="15.6">
      <c r="A9" s="22">
        <v>1008</v>
      </c>
      <c r="B9" s="21">
        <v>45505</v>
      </c>
      <c r="C9" s="18" t="s">
        <v>19</v>
      </c>
      <c r="D9" s="18" t="s">
        <v>17</v>
      </c>
      <c r="E9" s="19">
        <v>1</v>
      </c>
      <c r="F9" s="19">
        <v>15000</v>
      </c>
      <c r="G9" s="23" t="s">
        <v>15</v>
      </c>
    </row>
    <row r="10" spans="1:7" ht="15.6">
      <c r="A10" s="22">
        <v>1009</v>
      </c>
      <c r="B10" s="21">
        <v>45536</v>
      </c>
      <c r="C10" s="18" t="s">
        <v>14</v>
      </c>
      <c r="D10" s="18" t="s">
        <v>8</v>
      </c>
      <c r="E10" s="19">
        <v>2</v>
      </c>
      <c r="F10" s="19">
        <v>24000</v>
      </c>
      <c r="G10" s="23" t="s">
        <v>18</v>
      </c>
    </row>
    <row r="11" spans="1:7" ht="15.6">
      <c r="A11" s="27">
        <v>1010</v>
      </c>
      <c r="B11" s="28">
        <v>45566</v>
      </c>
      <c r="C11" s="29" t="s">
        <v>12</v>
      </c>
      <c r="D11" s="29" t="s">
        <v>11</v>
      </c>
      <c r="E11" s="30">
        <v>2</v>
      </c>
      <c r="F11" s="30">
        <v>3000</v>
      </c>
      <c r="G11" s="31" t="s">
        <v>9</v>
      </c>
    </row>
  </sheetData>
  <conditionalFormatting sqref="F2:F11">
    <cfRule type="cellIs" dxfId="27" priority="1" operator="greaterThan">
      <formula>20000</formula>
    </cfRule>
  </conditionalFormatting>
  <dataValidations count="2">
    <dataValidation type="whole" allowBlank="1" showInputMessage="1" showErrorMessage="1" sqref="E2:E11" xr:uid="{A3E6BFE9-08F5-4179-9633-732D41BDC637}">
      <formula1>1</formula1>
      <formula2>5</formula2>
    </dataValidation>
    <dataValidation type="list" allowBlank="1" showInputMessage="1" showErrorMessage="1" sqref="I3" xr:uid="{7854AF85-986E-47E3-8A28-CA2BA261A74D}">
      <formula1>"Electronics,Accessories,Furniture"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E475-577A-42B0-BF59-F5351E8E436E}">
  <dimension ref="A1:G20"/>
  <sheetViews>
    <sheetView workbookViewId="0">
      <selection activeCell="F20" sqref="F20"/>
    </sheetView>
  </sheetViews>
  <sheetFormatPr defaultRowHeight="14.4"/>
  <cols>
    <col min="1" max="1" width="12.33203125" customWidth="1"/>
    <col min="2" max="2" width="15" customWidth="1"/>
    <col min="3" max="3" width="12.21875" customWidth="1"/>
    <col min="4" max="4" width="13.77734375" customWidth="1"/>
    <col min="5" max="5" width="12.109375" customWidth="1"/>
    <col min="6" max="6" width="12.44140625" customWidth="1"/>
    <col min="7" max="7" width="15.44140625" customWidth="1"/>
  </cols>
  <sheetData>
    <row r="1" spans="1:7" ht="15.6">
      <c r="A1" s="24" t="s">
        <v>0</v>
      </c>
      <c r="B1" s="25" t="s">
        <v>1</v>
      </c>
      <c r="C1" s="25" t="s">
        <v>2</v>
      </c>
      <c r="D1" s="25" t="s">
        <v>3</v>
      </c>
      <c r="E1" s="25" t="s">
        <v>4</v>
      </c>
      <c r="F1" s="25" t="s">
        <v>5</v>
      </c>
      <c r="G1" s="26" t="s">
        <v>6</v>
      </c>
    </row>
    <row r="2" spans="1:7" ht="15.6">
      <c r="A2" s="22">
        <v>1001</v>
      </c>
      <c r="B2" s="20">
        <v>45292</v>
      </c>
      <c r="C2" s="18" t="s">
        <v>7</v>
      </c>
      <c r="D2" s="18" t="s">
        <v>8</v>
      </c>
      <c r="E2" s="19">
        <v>1</v>
      </c>
      <c r="F2" s="19">
        <v>60000</v>
      </c>
      <c r="G2" s="23" t="s">
        <v>9</v>
      </c>
    </row>
    <row r="3" spans="1:7" ht="15.6">
      <c r="A3" s="22">
        <v>1002</v>
      </c>
      <c r="B3" s="21">
        <v>45323</v>
      </c>
      <c r="C3" s="18" t="s">
        <v>10</v>
      </c>
      <c r="D3" s="18" t="s">
        <v>11</v>
      </c>
      <c r="E3" s="19">
        <v>2</v>
      </c>
      <c r="F3" s="19">
        <v>1200</v>
      </c>
      <c r="G3" s="23" t="s">
        <v>9</v>
      </c>
    </row>
    <row r="4" spans="1:7" ht="15.6">
      <c r="A4" s="22">
        <v>1003</v>
      </c>
      <c r="B4" s="21">
        <v>45352</v>
      </c>
      <c r="C4" s="18" t="s">
        <v>12</v>
      </c>
      <c r="D4" s="18" t="s">
        <v>11</v>
      </c>
      <c r="E4" s="19">
        <v>1</v>
      </c>
      <c r="F4" s="19">
        <v>1500</v>
      </c>
      <c r="G4" s="23" t="s">
        <v>13</v>
      </c>
    </row>
    <row r="5" spans="1:7" ht="15.6">
      <c r="A5" s="22">
        <v>1004</v>
      </c>
      <c r="B5" s="21">
        <v>45383</v>
      </c>
      <c r="C5" s="18" t="s">
        <v>14</v>
      </c>
      <c r="D5" s="18" t="s">
        <v>8</v>
      </c>
      <c r="E5" s="19">
        <v>1</v>
      </c>
      <c r="F5" s="19">
        <v>12000</v>
      </c>
      <c r="G5" s="23" t="s">
        <v>15</v>
      </c>
    </row>
    <row r="6" spans="1:7" ht="15.6">
      <c r="A6" s="22">
        <v>1005</v>
      </c>
      <c r="B6" s="21">
        <v>45413</v>
      </c>
      <c r="C6" s="18" t="s">
        <v>7</v>
      </c>
      <c r="D6" s="18" t="s">
        <v>8</v>
      </c>
      <c r="E6" s="19">
        <v>1</v>
      </c>
      <c r="F6" s="19">
        <v>62000</v>
      </c>
      <c r="G6" s="23" t="s">
        <v>9</v>
      </c>
    </row>
    <row r="7" spans="1:7" ht="15.6">
      <c r="A7" s="22">
        <v>1006</v>
      </c>
      <c r="B7" s="21">
        <v>45444</v>
      </c>
      <c r="C7" s="18" t="s">
        <v>10</v>
      </c>
      <c r="D7" s="18" t="s">
        <v>11</v>
      </c>
      <c r="E7" s="19">
        <v>3</v>
      </c>
      <c r="F7" s="19">
        <v>1800</v>
      </c>
      <c r="G7" s="23" t="s">
        <v>13</v>
      </c>
    </row>
    <row r="8" spans="1:7" ht="15.6">
      <c r="A8" s="22">
        <v>1007</v>
      </c>
      <c r="B8" s="21">
        <v>45474</v>
      </c>
      <c r="C8" s="18" t="s">
        <v>16</v>
      </c>
      <c r="D8" s="18" t="s">
        <v>17</v>
      </c>
      <c r="E8" s="19">
        <v>1</v>
      </c>
      <c r="F8" s="19">
        <v>8000</v>
      </c>
      <c r="G8" s="23" t="s">
        <v>18</v>
      </c>
    </row>
    <row r="9" spans="1:7" ht="15.6">
      <c r="A9" s="22">
        <v>1008</v>
      </c>
      <c r="B9" s="21">
        <v>45505</v>
      </c>
      <c r="C9" s="18" t="s">
        <v>19</v>
      </c>
      <c r="D9" s="18" t="s">
        <v>17</v>
      </c>
      <c r="E9" s="19">
        <v>1</v>
      </c>
      <c r="F9" s="19">
        <v>15000</v>
      </c>
      <c r="G9" s="23" t="s">
        <v>15</v>
      </c>
    </row>
    <row r="10" spans="1:7" ht="15.6">
      <c r="A10" s="22">
        <v>1009</v>
      </c>
      <c r="B10" s="21">
        <v>45536</v>
      </c>
      <c r="C10" s="18" t="s">
        <v>14</v>
      </c>
      <c r="D10" s="18" t="s">
        <v>8</v>
      </c>
      <c r="E10" s="19">
        <v>2</v>
      </c>
      <c r="F10" s="19">
        <v>24000</v>
      </c>
      <c r="G10" s="23" t="s">
        <v>18</v>
      </c>
    </row>
    <row r="11" spans="1:7" ht="15.6">
      <c r="A11" s="27">
        <v>1010</v>
      </c>
      <c r="B11" s="28">
        <v>45566</v>
      </c>
      <c r="C11" s="29" t="s">
        <v>12</v>
      </c>
      <c r="D11" s="29" t="s">
        <v>11</v>
      </c>
      <c r="E11" s="30">
        <v>2</v>
      </c>
      <c r="F11" s="30">
        <v>3000</v>
      </c>
      <c r="G11" s="31" t="s">
        <v>9</v>
      </c>
    </row>
    <row r="15" spans="1:7" ht="15" thickBot="1">
      <c r="B15" s="54" t="s">
        <v>24</v>
      </c>
      <c r="C15" s="55" t="s">
        <v>25</v>
      </c>
    </row>
    <row r="16" spans="1:7">
      <c r="B16" s="50" t="s">
        <v>26</v>
      </c>
      <c r="C16" s="52" t="s">
        <v>5</v>
      </c>
    </row>
    <row r="17" spans="2:3">
      <c r="B17" s="51" t="s">
        <v>27</v>
      </c>
      <c r="C17" s="53">
        <f>SUM(F2:F11)</f>
        <v>188500</v>
      </c>
    </row>
    <row r="18" spans="2:3">
      <c r="B18" s="51" t="s">
        <v>28</v>
      </c>
      <c r="C18" s="53">
        <f>AVERAGE(F2:F11)</f>
        <v>18850</v>
      </c>
    </row>
    <row r="19" spans="2:3">
      <c r="B19" s="51" t="s">
        <v>29</v>
      </c>
      <c r="C19" s="53">
        <f>MEDIAN(F2:F11)</f>
        <v>10000</v>
      </c>
    </row>
    <row r="20" spans="2:3" ht="28.8">
      <c r="B20" s="56" t="s">
        <v>30</v>
      </c>
      <c r="C20" s="38">
        <f>_xlfn.STDEV.S(F2:F11)</f>
        <v>23370.696276415139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7CE7D-9620-4175-BD6C-C7CD0F7A8088}">
  <dimension ref="A1:M12"/>
  <sheetViews>
    <sheetView tabSelected="1" workbookViewId="0">
      <selection activeCell="J31" sqref="J31"/>
    </sheetView>
  </sheetViews>
  <sheetFormatPr defaultRowHeight="14.4"/>
  <cols>
    <col min="1" max="1" width="12.44140625" bestFit="1" customWidth="1"/>
    <col min="2" max="2" width="11.21875" bestFit="1" customWidth="1"/>
    <col min="5" max="5" width="12.44140625" bestFit="1" customWidth="1"/>
    <col min="6" max="6" width="11.21875" bestFit="1" customWidth="1"/>
    <col min="9" max="9" width="12.5546875" bestFit="1" customWidth="1"/>
    <col min="10" max="10" width="11.6640625" bestFit="1" customWidth="1"/>
    <col min="12" max="12" width="12.44140625" bestFit="1" customWidth="1"/>
    <col min="13" max="13" width="11.21875" bestFit="1" customWidth="1"/>
  </cols>
  <sheetData>
    <row r="1" spans="1:13">
      <c r="A1" s="35" t="s">
        <v>31</v>
      </c>
      <c r="B1" t="s">
        <v>33</v>
      </c>
      <c r="E1" s="35" t="s">
        <v>31</v>
      </c>
      <c r="F1" t="s">
        <v>33</v>
      </c>
      <c r="L1" s="35" t="s">
        <v>31</v>
      </c>
      <c r="M1" t="s">
        <v>33</v>
      </c>
    </row>
    <row r="2" spans="1:13">
      <c r="A2" s="36" t="s">
        <v>11</v>
      </c>
      <c r="B2" s="37">
        <v>7500</v>
      </c>
      <c r="E2" s="36" t="s">
        <v>16</v>
      </c>
      <c r="F2" s="37">
        <v>8000</v>
      </c>
      <c r="L2" s="36" t="s">
        <v>34</v>
      </c>
      <c r="M2" s="37">
        <v>60000</v>
      </c>
    </row>
    <row r="3" spans="1:13">
      <c r="A3" s="36" t="s">
        <v>8</v>
      </c>
      <c r="B3" s="37">
        <v>158000</v>
      </c>
      <c r="E3" s="36" t="s">
        <v>19</v>
      </c>
      <c r="F3" s="37">
        <v>15000</v>
      </c>
      <c r="L3" s="36" t="s">
        <v>35</v>
      </c>
      <c r="M3" s="37">
        <v>1200</v>
      </c>
    </row>
    <row r="4" spans="1:13">
      <c r="A4" s="36" t="s">
        <v>17</v>
      </c>
      <c r="B4" s="37">
        <v>23000</v>
      </c>
      <c r="E4" s="36" t="s">
        <v>12</v>
      </c>
      <c r="F4" s="37">
        <v>4500</v>
      </c>
      <c r="L4" s="36" t="s">
        <v>36</v>
      </c>
      <c r="M4" s="37">
        <v>1500</v>
      </c>
    </row>
    <row r="5" spans="1:13">
      <c r="A5" s="36" t="s">
        <v>32</v>
      </c>
      <c r="B5" s="37">
        <v>188500</v>
      </c>
      <c r="E5" s="36" t="s">
        <v>7</v>
      </c>
      <c r="F5" s="37">
        <v>122000</v>
      </c>
      <c r="L5" s="36" t="s">
        <v>37</v>
      </c>
      <c r="M5" s="37">
        <v>12000</v>
      </c>
    </row>
    <row r="6" spans="1:13">
      <c r="E6" s="36" t="s">
        <v>14</v>
      </c>
      <c r="F6" s="37">
        <v>36000</v>
      </c>
      <c r="L6" s="36" t="s">
        <v>38</v>
      </c>
      <c r="M6" s="37">
        <v>62000</v>
      </c>
    </row>
    <row r="7" spans="1:13">
      <c r="E7" s="36" t="s">
        <v>32</v>
      </c>
      <c r="F7" s="37">
        <v>185500</v>
      </c>
      <c r="L7" s="36" t="s">
        <v>39</v>
      </c>
      <c r="M7" s="37">
        <v>1800</v>
      </c>
    </row>
    <row r="8" spans="1:13">
      <c r="L8" s="36" t="s">
        <v>40</v>
      </c>
      <c r="M8" s="37">
        <v>8000</v>
      </c>
    </row>
    <row r="9" spans="1:13">
      <c r="L9" s="36" t="s">
        <v>41</v>
      </c>
      <c r="M9" s="37">
        <v>15000</v>
      </c>
    </row>
    <row r="10" spans="1:13">
      <c r="L10" s="36" t="s">
        <v>42</v>
      </c>
      <c r="M10" s="37">
        <v>24000</v>
      </c>
    </row>
    <row r="11" spans="1:13">
      <c r="L11" s="36" t="s">
        <v>43</v>
      </c>
      <c r="M11" s="37">
        <v>3000</v>
      </c>
    </row>
    <row r="12" spans="1:13">
      <c r="L12" s="36" t="s">
        <v>32</v>
      </c>
      <c r="M12" s="37">
        <v>188500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4EAC6-AE63-4E9D-8EB0-071A755ACACD}">
  <dimension ref="A1:R46"/>
  <sheetViews>
    <sheetView showGridLines="0" showRowColHeaders="0" workbookViewId="0">
      <selection activeCell="O35" sqref="O35"/>
    </sheetView>
  </sheetViews>
  <sheetFormatPr defaultRowHeight="14.4"/>
  <cols>
    <col min="1" max="1" width="2" customWidth="1"/>
    <col min="2" max="2" width="2.77734375" customWidth="1"/>
    <col min="9" max="9" width="10.88671875" customWidth="1"/>
    <col min="10" max="10" width="58.21875" customWidth="1"/>
    <col min="11" max="11" width="7.88671875" customWidth="1"/>
  </cols>
  <sheetData>
    <row r="1" spans="1:18" ht="29.4" thickBot="1">
      <c r="A1" s="39"/>
    </row>
    <row r="2" spans="1:18" ht="15" thickBot="1">
      <c r="D2" s="40"/>
      <c r="E2" s="41"/>
      <c r="F2" s="41"/>
      <c r="G2" s="41"/>
      <c r="H2" s="41"/>
      <c r="I2" s="41"/>
      <c r="J2" s="41"/>
      <c r="K2" s="41"/>
      <c r="L2" s="41"/>
      <c r="M2" s="41"/>
      <c r="N2" s="41"/>
      <c r="O2" s="41"/>
      <c r="P2" s="41"/>
      <c r="Q2" s="41"/>
      <c r="R2" s="42"/>
    </row>
    <row r="3" spans="1:18" ht="29.4" thickBot="1">
      <c r="D3" s="43"/>
      <c r="E3" s="44"/>
      <c r="F3" s="44"/>
      <c r="G3" s="44"/>
      <c r="H3" s="44"/>
      <c r="I3" s="44"/>
      <c r="J3" s="49" t="s">
        <v>44</v>
      </c>
      <c r="K3" s="44"/>
      <c r="L3" s="44"/>
      <c r="M3" s="44"/>
      <c r="N3" s="44"/>
      <c r="O3" s="44"/>
      <c r="P3" s="44"/>
      <c r="Q3" s="44"/>
      <c r="R3" s="45"/>
    </row>
    <row r="4" spans="1:18">
      <c r="D4" s="43"/>
      <c r="E4" s="44"/>
      <c r="F4" s="44"/>
      <c r="G4" s="44"/>
      <c r="H4" s="44"/>
      <c r="I4" s="44"/>
      <c r="J4" s="44"/>
      <c r="K4" s="44"/>
      <c r="L4" s="44"/>
      <c r="M4" s="44"/>
      <c r="N4" s="44"/>
      <c r="O4" s="44"/>
      <c r="P4" s="44"/>
      <c r="Q4" s="44"/>
      <c r="R4" s="45"/>
    </row>
    <row r="5" spans="1:18">
      <c r="D5" s="43"/>
      <c r="E5" s="44"/>
      <c r="F5" s="44"/>
      <c r="G5" s="44"/>
      <c r="H5" s="44"/>
      <c r="I5" s="44"/>
      <c r="J5" s="44"/>
      <c r="K5" s="44"/>
      <c r="L5" s="44"/>
      <c r="M5" s="44"/>
      <c r="N5" s="44"/>
      <c r="O5" s="44"/>
      <c r="P5" s="44"/>
      <c r="Q5" s="44"/>
      <c r="R5" s="45"/>
    </row>
    <row r="6" spans="1:18">
      <c r="D6" s="43"/>
      <c r="E6" s="44"/>
      <c r="F6" s="44"/>
      <c r="G6" s="44"/>
      <c r="H6" s="44"/>
      <c r="I6" s="44"/>
      <c r="J6" s="44"/>
      <c r="K6" s="44"/>
      <c r="L6" s="44"/>
      <c r="M6" s="44"/>
      <c r="N6" s="44"/>
      <c r="O6" s="44"/>
      <c r="P6" s="44"/>
      <c r="Q6" s="44"/>
      <c r="R6" s="45"/>
    </row>
    <row r="7" spans="1:18">
      <c r="D7" s="43"/>
      <c r="E7" s="44"/>
      <c r="F7" s="44"/>
      <c r="G7" s="44"/>
      <c r="H7" s="44"/>
      <c r="I7" s="44"/>
      <c r="J7" s="44"/>
      <c r="K7" s="44"/>
      <c r="L7" s="44"/>
      <c r="M7" s="44"/>
      <c r="N7" s="44"/>
      <c r="O7" s="44"/>
      <c r="P7" s="44"/>
      <c r="Q7" s="44"/>
      <c r="R7" s="45"/>
    </row>
    <row r="8" spans="1:18">
      <c r="D8" s="43"/>
      <c r="E8" s="44"/>
      <c r="F8" s="44"/>
      <c r="G8" s="44"/>
      <c r="H8" s="44"/>
      <c r="I8" s="44"/>
      <c r="J8" s="44"/>
      <c r="K8" s="44"/>
      <c r="L8" s="44"/>
      <c r="M8" s="44"/>
      <c r="N8" s="44"/>
      <c r="O8" s="44"/>
      <c r="P8" s="44"/>
      <c r="Q8" s="44"/>
      <c r="R8" s="45"/>
    </row>
    <row r="9" spans="1:18">
      <c r="D9" s="43"/>
      <c r="E9" s="44"/>
      <c r="F9" s="44"/>
      <c r="G9" s="44"/>
      <c r="H9" s="44"/>
      <c r="I9" s="44"/>
      <c r="J9" s="44"/>
      <c r="K9" s="44"/>
      <c r="L9" s="44"/>
      <c r="M9" s="44"/>
      <c r="N9" s="44"/>
      <c r="O9" s="44"/>
      <c r="P9" s="44"/>
      <c r="Q9" s="44"/>
      <c r="R9" s="45"/>
    </row>
    <row r="10" spans="1:18">
      <c r="D10" s="43"/>
      <c r="E10" s="44"/>
      <c r="F10" s="44"/>
      <c r="G10" s="44"/>
      <c r="H10" s="44"/>
      <c r="I10" s="44"/>
      <c r="J10" s="44"/>
      <c r="K10" s="44"/>
      <c r="L10" s="44"/>
      <c r="M10" s="44"/>
      <c r="N10" s="44"/>
      <c r="O10" s="44"/>
      <c r="P10" s="44"/>
      <c r="Q10" s="44"/>
      <c r="R10" s="45"/>
    </row>
    <row r="11" spans="1:18">
      <c r="D11" s="43"/>
      <c r="E11" s="44"/>
      <c r="F11" s="44"/>
      <c r="G11" s="44"/>
      <c r="H11" s="44"/>
      <c r="I11" s="44"/>
      <c r="J11" s="44"/>
      <c r="K11" s="44"/>
      <c r="L11" s="44"/>
      <c r="M11" s="44"/>
      <c r="N11" s="44"/>
      <c r="O11" s="44"/>
      <c r="P11" s="44"/>
      <c r="Q11" s="44"/>
      <c r="R11" s="45"/>
    </row>
    <row r="12" spans="1:18">
      <c r="D12" s="43"/>
      <c r="E12" s="44"/>
      <c r="F12" s="44"/>
      <c r="G12" s="44"/>
      <c r="H12" s="44"/>
      <c r="I12" s="44"/>
      <c r="J12" s="44"/>
      <c r="K12" s="44"/>
      <c r="L12" s="44"/>
      <c r="M12" s="44"/>
      <c r="N12" s="44"/>
      <c r="O12" s="44"/>
      <c r="P12" s="44"/>
      <c r="Q12" s="44"/>
      <c r="R12" s="45"/>
    </row>
    <row r="13" spans="1:18">
      <c r="D13" s="43"/>
      <c r="E13" s="44"/>
      <c r="F13" s="44"/>
      <c r="G13" s="44"/>
      <c r="H13" s="44"/>
      <c r="I13" s="44"/>
      <c r="J13" s="44"/>
      <c r="K13" s="44"/>
      <c r="L13" s="44"/>
      <c r="M13" s="44"/>
      <c r="N13" s="44"/>
      <c r="O13" s="44"/>
      <c r="P13" s="44"/>
      <c r="Q13" s="44"/>
      <c r="R13" s="45"/>
    </row>
    <row r="14" spans="1:18">
      <c r="D14" s="43"/>
      <c r="E14" s="44"/>
      <c r="F14" s="44"/>
      <c r="G14" s="44"/>
      <c r="H14" s="44"/>
      <c r="I14" s="44"/>
      <c r="J14" s="44"/>
      <c r="K14" s="44"/>
      <c r="L14" s="44"/>
      <c r="M14" s="44"/>
      <c r="N14" s="44"/>
      <c r="O14" s="44"/>
      <c r="P14" s="44"/>
      <c r="Q14" s="44"/>
      <c r="R14" s="45"/>
    </row>
    <row r="15" spans="1:18">
      <c r="D15" s="43"/>
      <c r="E15" s="44"/>
      <c r="F15" s="44"/>
      <c r="G15" s="44"/>
      <c r="H15" s="44"/>
      <c r="I15" s="44"/>
      <c r="J15" s="44"/>
      <c r="K15" s="44"/>
      <c r="L15" s="44"/>
      <c r="M15" s="44"/>
      <c r="N15" s="44"/>
      <c r="O15" s="44"/>
      <c r="P15" s="44"/>
      <c r="Q15" s="44"/>
      <c r="R15" s="45"/>
    </row>
    <row r="16" spans="1:18">
      <c r="D16" s="43"/>
      <c r="E16" s="44"/>
      <c r="F16" s="44"/>
      <c r="G16" s="44"/>
      <c r="H16" s="44"/>
      <c r="I16" s="44"/>
      <c r="J16" s="44"/>
      <c r="K16" s="44"/>
      <c r="L16" s="44"/>
      <c r="M16" s="44"/>
      <c r="N16" s="44"/>
      <c r="O16" s="44"/>
      <c r="P16" s="44"/>
      <c r="Q16" s="44"/>
      <c r="R16" s="45"/>
    </row>
    <row r="17" spans="4:18">
      <c r="D17" s="43"/>
      <c r="E17" s="44"/>
      <c r="F17" s="44"/>
      <c r="G17" s="44"/>
      <c r="H17" s="44"/>
      <c r="I17" s="44"/>
      <c r="J17" s="44"/>
      <c r="K17" s="44"/>
      <c r="L17" s="44"/>
      <c r="M17" s="44"/>
      <c r="N17" s="44"/>
      <c r="O17" s="44"/>
      <c r="P17" s="44"/>
      <c r="Q17" s="44"/>
      <c r="R17" s="45"/>
    </row>
    <row r="18" spans="4:18">
      <c r="D18" s="43"/>
      <c r="E18" s="44"/>
      <c r="F18" s="44"/>
      <c r="G18" s="44"/>
      <c r="H18" s="44"/>
      <c r="I18" s="44"/>
      <c r="J18" s="44"/>
      <c r="K18" s="44"/>
      <c r="L18" s="44"/>
      <c r="M18" s="44"/>
      <c r="N18" s="44"/>
      <c r="O18" s="44"/>
      <c r="P18" s="44"/>
      <c r="Q18" s="44"/>
      <c r="R18" s="45"/>
    </row>
    <row r="19" spans="4:18">
      <c r="D19" s="43"/>
      <c r="E19" s="44"/>
      <c r="F19" s="44"/>
      <c r="G19" s="44"/>
      <c r="H19" s="44"/>
      <c r="I19" s="44"/>
      <c r="J19" s="44"/>
      <c r="K19" s="44"/>
      <c r="L19" s="44"/>
      <c r="M19" s="44"/>
      <c r="N19" s="44"/>
      <c r="O19" s="44"/>
      <c r="P19" s="44"/>
      <c r="Q19" s="44"/>
      <c r="R19" s="45"/>
    </row>
    <row r="20" spans="4:18">
      <c r="D20" s="43"/>
      <c r="E20" s="44"/>
      <c r="F20" s="44"/>
      <c r="G20" s="44"/>
      <c r="H20" s="44"/>
      <c r="I20" s="44"/>
      <c r="J20" s="44"/>
      <c r="K20" s="44"/>
      <c r="L20" s="44"/>
      <c r="M20" s="44"/>
      <c r="N20" s="44"/>
      <c r="O20" s="44"/>
      <c r="P20" s="44"/>
      <c r="Q20" s="44"/>
      <c r="R20" s="45"/>
    </row>
    <row r="21" spans="4:18">
      <c r="D21" s="43"/>
      <c r="E21" s="44"/>
      <c r="F21" s="44"/>
      <c r="G21" s="44"/>
      <c r="H21" s="44"/>
      <c r="I21" s="44"/>
      <c r="J21" s="44"/>
      <c r="K21" s="44"/>
      <c r="L21" s="44"/>
      <c r="M21" s="44"/>
      <c r="N21" s="44"/>
      <c r="O21" s="44"/>
      <c r="P21" s="44"/>
      <c r="Q21" s="44"/>
      <c r="R21" s="45"/>
    </row>
    <row r="22" spans="4:18">
      <c r="D22" s="43"/>
      <c r="E22" s="44"/>
      <c r="F22" s="44"/>
      <c r="G22" s="44"/>
      <c r="H22" s="44"/>
      <c r="I22" s="44"/>
      <c r="J22" s="44"/>
      <c r="K22" s="44"/>
      <c r="L22" s="44"/>
      <c r="M22" s="44"/>
      <c r="N22" s="44"/>
      <c r="O22" s="44"/>
      <c r="P22" s="44"/>
      <c r="Q22" s="44"/>
      <c r="R22" s="45"/>
    </row>
    <row r="23" spans="4:18">
      <c r="D23" s="43"/>
      <c r="E23" s="44"/>
      <c r="F23" s="44"/>
      <c r="G23" s="44"/>
      <c r="H23" s="44"/>
      <c r="I23" s="44"/>
      <c r="J23" s="44"/>
      <c r="K23" s="44"/>
      <c r="L23" s="44"/>
      <c r="M23" s="44"/>
      <c r="N23" s="44"/>
      <c r="O23" s="44"/>
      <c r="P23" s="44"/>
      <c r="Q23" s="44"/>
      <c r="R23" s="45"/>
    </row>
    <row r="24" spans="4:18">
      <c r="D24" s="43"/>
      <c r="E24" s="44"/>
      <c r="F24" s="44"/>
      <c r="G24" s="44"/>
      <c r="H24" s="44"/>
      <c r="I24" s="44"/>
      <c r="J24" s="44"/>
      <c r="K24" s="44"/>
      <c r="L24" s="44"/>
      <c r="M24" s="44"/>
      <c r="N24" s="44"/>
      <c r="O24" s="44"/>
      <c r="P24" s="44"/>
      <c r="Q24" s="44"/>
      <c r="R24" s="45"/>
    </row>
    <row r="25" spans="4:18">
      <c r="D25" s="43"/>
      <c r="E25" s="44"/>
      <c r="F25" s="44"/>
      <c r="G25" s="44"/>
      <c r="H25" s="44"/>
      <c r="I25" s="44"/>
      <c r="J25" s="44"/>
      <c r="K25" s="44"/>
      <c r="L25" s="44"/>
      <c r="M25" s="44"/>
      <c r="N25" s="44"/>
      <c r="O25" s="44"/>
      <c r="P25" s="44"/>
      <c r="Q25" s="44"/>
      <c r="R25" s="45"/>
    </row>
    <row r="26" spans="4:18">
      <c r="D26" s="43"/>
      <c r="E26" s="44"/>
      <c r="F26" s="44"/>
      <c r="G26" s="44"/>
      <c r="H26" s="44"/>
      <c r="I26" s="44"/>
      <c r="J26" s="44"/>
      <c r="K26" s="44"/>
      <c r="L26" s="44"/>
      <c r="M26" s="44"/>
      <c r="N26" s="44"/>
      <c r="O26" s="44"/>
      <c r="P26" s="44"/>
      <c r="Q26" s="44"/>
      <c r="R26" s="45"/>
    </row>
    <row r="27" spans="4:18">
      <c r="D27" s="43"/>
      <c r="E27" s="44"/>
      <c r="F27" s="44"/>
      <c r="G27" s="44"/>
      <c r="H27" s="44"/>
      <c r="I27" s="44"/>
      <c r="J27" s="44"/>
      <c r="K27" s="44"/>
      <c r="L27" s="44"/>
      <c r="M27" s="44"/>
      <c r="N27" s="44"/>
      <c r="O27" s="44"/>
      <c r="P27" s="44"/>
      <c r="Q27" s="44"/>
      <c r="R27" s="45"/>
    </row>
    <row r="28" spans="4:18">
      <c r="D28" s="43"/>
      <c r="E28" s="44"/>
      <c r="F28" s="44"/>
      <c r="G28" s="44"/>
      <c r="H28" s="44"/>
      <c r="I28" s="44"/>
      <c r="J28" s="44"/>
      <c r="K28" s="44"/>
      <c r="L28" s="44"/>
      <c r="M28" s="44"/>
      <c r="N28" s="44"/>
      <c r="O28" s="44"/>
      <c r="P28" s="44"/>
      <c r="Q28" s="44"/>
      <c r="R28" s="45"/>
    </row>
    <row r="29" spans="4:18">
      <c r="D29" s="43"/>
      <c r="E29" s="44"/>
      <c r="F29" s="44"/>
      <c r="G29" s="44"/>
      <c r="H29" s="44"/>
      <c r="I29" s="44"/>
      <c r="J29" s="44"/>
      <c r="K29" s="44"/>
      <c r="L29" s="44"/>
      <c r="M29" s="44"/>
      <c r="N29" s="44"/>
      <c r="O29" s="44"/>
      <c r="P29" s="44"/>
      <c r="Q29" s="44"/>
      <c r="R29" s="45"/>
    </row>
    <row r="30" spans="4:18">
      <c r="D30" s="43"/>
      <c r="E30" s="44"/>
      <c r="F30" s="44"/>
      <c r="G30" s="44"/>
      <c r="H30" s="44"/>
      <c r="I30" s="44"/>
      <c r="J30" s="44"/>
      <c r="K30" s="44"/>
      <c r="L30" s="44"/>
      <c r="M30" s="44"/>
      <c r="N30" s="44"/>
      <c r="O30" s="44"/>
      <c r="P30" s="44"/>
      <c r="Q30" s="44"/>
      <c r="R30" s="45"/>
    </row>
    <row r="31" spans="4:18">
      <c r="D31" s="43"/>
      <c r="E31" s="44"/>
      <c r="F31" s="44"/>
      <c r="G31" s="44"/>
      <c r="H31" s="44"/>
      <c r="I31" s="44"/>
      <c r="J31" s="44"/>
      <c r="K31" s="44"/>
      <c r="L31" s="44"/>
      <c r="M31" s="44"/>
      <c r="N31" s="44"/>
      <c r="O31" s="44"/>
      <c r="P31" s="44"/>
      <c r="Q31" s="44"/>
      <c r="R31" s="45"/>
    </row>
    <row r="32" spans="4:18">
      <c r="D32" s="43"/>
      <c r="E32" s="44"/>
      <c r="F32" s="44"/>
      <c r="G32" s="44"/>
      <c r="H32" s="44"/>
      <c r="I32" s="44"/>
      <c r="J32" s="44"/>
      <c r="K32" s="44"/>
      <c r="L32" s="44"/>
      <c r="M32" s="44"/>
      <c r="N32" s="44"/>
      <c r="O32" s="44"/>
      <c r="P32" s="44"/>
      <c r="Q32" s="44"/>
      <c r="R32" s="45"/>
    </row>
    <row r="33" spans="4:18">
      <c r="D33" s="43"/>
      <c r="E33" s="44"/>
      <c r="F33" s="44"/>
      <c r="G33" s="44"/>
      <c r="H33" s="44"/>
      <c r="I33" s="44"/>
      <c r="J33" s="44"/>
      <c r="K33" s="44"/>
      <c r="L33" s="44"/>
      <c r="M33" s="44"/>
      <c r="N33" s="44"/>
      <c r="O33" s="44"/>
      <c r="P33" s="44"/>
      <c r="Q33" s="44"/>
      <c r="R33" s="45"/>
    </row>
    <row r="34" spans="4:18">
      <c r="D34" s="43"/>
      <c r="E34" s="44"/>
      <c r="F34" s="44"/>
      <c r="G34" s="44"/>
      <c r="H34" s="44"/>
      <c r="I34" s="44"/>
      <c r="J34" s="44"/>
      <c r="K34" s="44"/>
      <c r="L34" s="44"/>
      <c r="M34" s="44"/>
      <c r="N34" s="44"/>
      <c r="O34" s="44"/>
      <c r="P34" s="44"/>
      <c r="Q34" s="44"/>
      <c r="R34" s="45"/>
    </row>
    <row r="35" spans="4:18">
      <c r="D35" s="43"/>
      <c r="E35" s="44"/>
      <c r="F35" s="44"/>
      <c r="G35" s="44"/>
      <c r="H35" s="44"/>
      <c r="I35" s="44"/>
      <c r="J35" s="44"/>
      <c r="K35" s="44"/>
      <c r="L35" s="44"/>
      <c r="M35" s="44"/>
      <c r="N35" s="44"/>
      <c r="O35" s="44"/>
      <c r="P35" s="44"/>
      <c r="Q35" s="44"/>
      <c r="R35" s="45"/>
    </row>
    <row r="36" spans="4:18">
      <c r="D36" s="43"/>
      <c r="E36" s="44"/>
      <c r="F36" s="44"/>
      <c r="G36" s="44"/>
      <c r="H36" s="44"/>
      <c r="I36" s="44"/>
      <c r="J36" s="44"/>
      <c r="K36" s="44"/>
      <c r="L36" s="44"/>
      <c r="M36" s="44"/>
      <c r="N36" s="44"/>
      <c r="O36" s="44"/>
      <c r="P36" s="44"/>
      <c r="Q36" s="44"/>
      <c r="R36" s="45"/>
    </row>
    <row r="37" spans="4:18">
      <c r="D37" s="43"/>
      <c r="E37" s="44"/>
      <c r="F37" s="44"/>
      <c r="G37" s="44"/>
      <c r="H37" s="44"/>
      <c r="I37" s="44"/>
      <c r="J37" s="44"/>
      <c r="K37" s="44"/>
      <c r="L37" s="44"/>
      <c r="M37" s="44"/>
      <c r="N37" s="44"/>
      <c r="O37" s="44"/>
      <c r="P37" s="44"/>
      <c r="Q37" s="44"/>
      <c r="R37" s="45"/>
    </row>
    <row r="38" spans="4:18">
      <c r="D38" s="43"/>
      <c r="E38" s="44"/>
      <c r="F38" s="44"/>
      <c r="G38" s="44"/>
      <c r="H38" s="44"/>
      <c r="I38" s="44"/>
      <c r="J38" s="44"/>
      <c r="K38" s="44"/>
      <c r="L38" s="44"/>
      <c r="M38" s="44"/>
      <c r="N38" s="44"/>
      <c r="O38" s="44"/>
      <c r="P38" s="44"/>
      <c r="Q38" s="44"/>
      <c r="R38" s="45"/>
    </row>
    <row r="39" spans="4:18">
      <c r="D39" s="43"/>
      <c r="E39" s="44"/>
      <c r="F39" s="44"/>
      <c r="G39" s="44"/>
      <c r="H39" s="44"/>
      <c r="I39" s="44"/>
      <c r="J39" s="44"/>
      <c r="K39" s="44"/>
      <c r="L39" s="44"/>
      <c r="M39" s="44"/>
      <c r="N39" s="44"/>
      <c r="O39" s="44"/>
      <c r="P39" s="44"/>
      <c r="Q39" s="44"/>
      <c r="R39" s="45"/>
    </row>
    <row r="40" spans="4:18">
      <c r="D40" s="43"/>
      <c r="E40" s="44"/>
      <c r="F40" s="44"/>
      <c r="G40" s="44"/>
      <c r="H40" s="44"/>
      <c r="I40" s="44"/>
      <c r="J40" s="44"/>
      <c r="K40" s="44"/>
      <c r="L40" s="44"/>
      <c r="M40" s="44"/>
      <c r="N40" s="44"/>
      <c r="O40" s="44"/>
      <c r="P40" s="44"/>
      <c r="Q40" s="44"/>
      <c r="R40" s="45"/>
    </row>
    <row r="41" spans="4:18">
      <c r="D41" s="43"/>
      <c r="E41" s="44"/>
      <c r="F41" s="44"/>
      <c r="G41" s="44"/>
      <c r="H41" s="44"/>
      <c r="I41" s="44"/>
      <c r="J41" s="44"/>
      <c r="K41" s="44"/>
      <c r="L41" s="44"/>
      <c r="M41" s="44"/>
      <c r="N41" s="44"/>
      <c r="O41" s="44"/>
      <c r="P41" s="44"/>
      <c r="Q41" s="44"/>
      <c r="R41" s="45"/>
    </row>
    <row r="42" spans="4:18">
      <c r="D42" s="43"/>
      <c r="E42" s="44"/>
      <c r="F42" s="44"/>
      <c r="G42" s="44"/>
      <c r="H42" s="44"/>
      <c r="I42" s="44"/>
      <c r="J42" s="44"/>
      <c r="K42" s="44"/>
      <c r="L42" s="44"/>
      <c r="M42" s="44"/>
      <c r="N42" s="44"/>
      <c r="O42" s="44"/>
      <c r="P42" s="44"/>
      <c r="Q42" s="44"/>
      <c r="R42" s="45"/>
    </row>
    <row r="43" spans="4:18">
      <c r="D43" s="43"/>
      <c r="E43" s="44"/>
      <c r="F43" s="44"/>
      <c r="G43" s="44"/>
      <c r="H43" s="44"/>
      <c r="I43" s="44"/>
      <c r="J43" s="44"/>
      <c r="K43" s="44"/>
      <c r="L43" s="44"/>
      <c r="M43" s="44"/>
      <c r="N43" s="44"/>
      <c r="O43" s="44"/>
      <c r="P43" s="44"/>
      <c r="Q43" s="44"/>
      <c r="R43" s="45"/>
    </row>
    <row r="44" spans="4:18">
      <c r="D44" s="43"/>
      <c r="E44" s="44"/>
      <c r="F44" s="44"/>
      <c r="G44" s="44"/>
      <c r="H44" s="44"/>
      <c r="I44" s="44"/>
      <c r="J44" s="44"/>
      <c r="K44" s="44"/>
      <c r="L44" s="44"/>
      <c r="M44" s="44"/>
      <c r="N44" s="44"/>
      <c r="O44" s="44"/>
      <c r="P44" s="44"/>
      <c r="Q44" s="44"/>
      <c r="R44" s="45"/>
    </row>
    <row r="45" spans="4:18">
      <c r="D45" s="43"/>
      <c r="E45" s="44"/>
      <c r="F45" s="44"/>
      <c r="G45" s="44"/>
      <c r="H45" s="44"/>
      <c r="I45" s="44"/>
      <c r="J45" s="44"/>
      <c r="K45" s="44"/>
      <c r="L45" s="44"/>
      <c r="M45" s="44"/>
      <c r="N45" s="44"/>
      <c r="O45" s="44"/>
      <c r="P45" s="44"/>
      <c r="Q45" s="44"/>
      <c r="R45" s="45"/>
    </row>
    <row r="46" spans="4:18" ht="15" thickBot="1">
      <c r="D46" s="46"/>
      <c r="E46" s="47"/>
      <c r="F46" s="47"/>
      <c r="G46" s="47"/>
      <c r="H46" s="47"/>
      <c r="I46" s="47"/>
      <c r="J46" s="47"/>
      <c r="K46" s="47"/>
      <c r="L46" s="47"/>
      <c r="M46" s="47"/>
      <c r="N46" s="47"/>
      <c r="O46" s="47"/>
      <c r="P46" s="47"/>
      <c r="Q46" s="47"/>
      <c r="R46" s="4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Formatting &amp; Validation</vt:lpstr>
      <vt:lpstr>Aggregate Functions</vt:lpstr>
      <vt:lpstr>Pivot &amp;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Vahini</dc:creator>
  <cp:lastModifiedBy>E Vahini</cp:lastModifiedBy>
  <dcterms:created xsi:type="dcterms:W3CDTF">2026-02-04T16:17:09Z</dcterms:created>
  <dcterms:modified xsi:type="dcterms:W3CDTF">2026-03-23T07:06:48Z</dcterms:modified>
</cp:coreProperties>
</file>